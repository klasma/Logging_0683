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46275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46275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46275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46275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46275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49187-2023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45205</v>
      </c>
      <c r="E9" s="1" t="n">
        <v>46275</v>
      </c>
      <c r="F9" t="inlineStr">
        <is>
          <t>JÖNKÖPINGS LÄN</t>
        </is>
      </c>
      <c r="G9" t="inlineStr">
        <is>
          <t>VÄRNAMO</t>
        </is>
      </c>
      <c r="I9" t="n">
        <v>5.3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Fällmossa
Guldlockmossa
Gulpudrad spiklav</t>
        </is>
      </c>
      <c r="W9">
        <f>HYPERLINK("https://klasma.github.io/Logging_0683/artfynd/A 49187-2023 artfynd.xlsx", "A 49187-2023")</f>
        <v/>
      </c>
      <c r="X9">
        <f>HYPERLINK("https://klasma.github.io/Logging_0683/kartor/A 49187-2023 karta.png", "A 49187-2023")</f>
        <v/>
      </c>
      <c r="Y9">
        <f>HYPERLINK("https://klasma.github.io/Logging_0683/kartor_geotiff/A 49187-2023 georefererad karta.tif", "A 49187-2023")</f>
        <v/>
      </c>
      <c r="AA9">
        <f>HYPERLINK("https://klasma.github.io/Logging_0683/klagomål/A 49187-2023 FSC-klagomål.docx", "A 49187-2023")</f>
        <v/>
      </c>
      <c r="AB9">
        <f>HYPERLINK("https://klasma.github.io/Logging_0683/klagomålsmail/A 49187-2023 FSC-klagomål mail.docx", "A 49187-2023")</f>
        <v/>
      </c>
      <c r="AC9">
        <f>HYPERLINK("https://klasma.github.io/Logging_0683/tillsyn/A 49187-2023 tillsynsbegäran.docx", "A 49187-2023")</f>
        <v/>
      </c>
      <c r="AD9">
        <f>HYPERLINK("https://klasma.github.io/Logging_0683/tillsynsmail/A 49187-2023 tillsynsbegäran mail.docx", "A 49187-2023")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46275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46275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46275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46275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46275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46275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46275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46275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46275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46275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46275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46275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46275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23613-2023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46275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HYPERLINK("https://klasma.github.io/Logging_0683/artfynd/A 23613-2023 artfynd.xlsx", "A 23613-2023")</f>
        <v/>
      </c>
      <c r="X23">
        <f>HYPERLINK("https://klasma.github.io/Logging_0683/kartor/A 23613-2023 karta.png", "A 23613-2023")</f>
        <v/>
      </c>
      <c r="Y23">
        <f>HYPERLINK("https://klasma.github.io/Logging_0683/kartor_geotiff/A 23613-2023 georefererad karta.tif", "A 23613-2023")</f>
        <v/>
      </c>
      <c r="AA23">
        <f>HYPERLINK("https://klasma.github.io/Logging_0683/klagomål/A 23613-2023 FSC-klagomål.docx", "A 23613-2023")</f>
        <v/>
      </c>
      <c r="AB23">
        <f>HYPERLINK("https://klasma.github.io/Logging_0683/klagomålsmail/A 23613-2023 FSC-klagomål mail.docx", "A 23613-2023")</f>
        <v/>
      </c>
      <c r="AC23">
        <f>HYPERLINK("https://klasma.github.io/Logging_0683/tillsyn/A 23613-2023 tillsynsbegäran.docx", "A 23613-2023")</f>
        <v/>
      </c>
      <c r="AD23">
        <f>HYPERLINK("https://klasma.github.io/Logging_0683/tillsynsmail/A 23613-2023 tillsynsbegäran mail.docx", "A 23613-2023")</f>
        <v/>
      </c>
    </row>
    <row r="24" ht="15" customHeight="1">
      <c r="A24" t="inlineStr">
        <is>
          <t>A 19078-2025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45766</v>
      </c>
      <c r="E24" s="1" t="n">
        <v>46275</v>
      </c>
      <c r="F24" t="inlineStr">
        <is>
          <t>JÖNKÖPINGS LÄN</t>
        </is>
      </c>
      <c r="G24" t="inlineStr">
        <is>
          <t>VÄRNAMO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HYPERLINK("https://klasma.github.io/Logging_0683/artfynd/A 19078-2025 artfynd.xlsx", "A 19078-2025")</f>
        <v/>
      </c>
      <c r="X24">
        <f>HYPERLINK("https://klasma.github.io/Logging_0683/kartor/A 19078-2025 karta.png", "A 19078-2025")</f>
        <v/>
      </c>
      <c r="Y24">
        <f>HYPERLINK("https://klasma.github.io/Logging_0683/kartor_geotiff/A 19078-2025 georefererad karta.tif", "A 19078-2025")</f>
        <v/>
      </c>
      <c r="Z24">
        <f>HYPERLINK("https://klasma.github.io/Logging_0683/knärot/A 19078-2025 karta knärot.png", "A 19078-2025")</f>
        <v/>
      </c>
      <c r="AA24">
        <f>HYPERLINK("https://klasma.github.io/Logging_0683/klagomål/A 19078-2025 FSC-klagomål.docx", "A 19078-2025")</f>
        <v/>
      </c>
      <c r="AB24">
        <f>HYPERLINK("https://klasma.github.io/Logging_0683/klagomålsmail/A 19078-2025 FSC-klagomål mail.docx", "A 19078-2025")</f>
        <v/>
      </c>
      <c r="AC24">
        <f>HYPERLINK("https://klasma.github.io/Logging_0683/tillsyn/A 19078-2025 tillsynsbegäran.docx", "A 19078-2025")</f>
        <v/>
      </c>
      <c r="AD24">
        <f>HYPERLINK("https://klasma.github.io/Logging_0683/tillsynsmail/A 19078-2025 tillsynsbegäran mail.docx", "A 19078-2025")</f>
        <v/>
      </c>
    </row>
    <row r="25" ht="15" customHeight="1">
      <c r="A25" t="inlineStr">
        <is>
          <t>A 37198-2024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46275</v>
      </c>
      <c r="F25" t="inlineStr">
        <is>
          <t>JÖNKÖPINGS LÄN</t>
        </is>
      </c>
      <c r="G25" t="inlineStr">
        <is>
          <t>VÄRNAMO</t>
        </is>
      </c>
      <c r="I25" t="n">
        <v>2.1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HYPERLINK("https://klasma.github.io/Logging_0683/artfynd/A 37198-2024 artfynd.xlsx", "A 37198-2024")</f>
        <v/>
      </c>
      <c r="X25">
        <f>HYPERLINK("https://klasma.github.io/Logging_0683/kartor/A 37198-2024 karta.png", "A 37198-2024")</f>
        <v/>
      </c>
      <c r="Y25">
        <f>HYPERLINK("https://klasma.github.io/Logging_0683/kartor_geotiff/A 37198-2024 georefererad karta.tif", "A 37198-2024")</f>
        <v/>
      </c>
      <c r="AA25">
        <f>HYPERLINK("https://klasma.github.io/Logging_0683/klagomål/A 37198-2024 FSC-klagomål.docx", "A 37198-2024")</f>
        <v/>
      </c>
      <c r="AB25">
        <f>HYPERLINK("https://klasma.github.io/Logging_0683/klagomålsmail/A 37198-2024 FSC-klagomål mail.docx", "A 37198-2024")</f>
        <v/>
      </c>
      <c r="AC25">
        <f>HYPERLINK("https://klasma.github.io/Logging_0683/tillsyn/A 37198-2024 tillsynsbegäran.docx", "A 37198-2024")</f>
        <v/>
      </c>
      <c r="AD25">
        <f>HYPERLINK("https://klasma.github.io/Logging_0683/tillsynsmail/A 37198-2024 tillsynsbegäran mail.docx", "A 37198-2024")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46275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Buskskvätta</t>
        </is>
      </c>
      <c r="W26">
        <f>HYPERLINK("https://klasma.github.io/Logging_0683/artfynd/A 17221-2025 artfynd.xlsx", "A 17221-2025")</f>
        <v/>
      </c>
      <c r="X26">
        <f>HYPERLINK("https://klasma.github.io/Logging_0683/kartor/A 17221-2025 karta.png", "A 17221-2025")</f>
        <v/>
      </c>
      <c r="Y26">
        <f>HYPERLINK("https://klasma.github.io/Logging_0683/kartor_geotiff/A 17221-2025 georefererad karta.tif", "A 17221-2025")</f>
        <v/>
      </c>
      <c r="AA26">
        <f>HYPERLINK("https://klasma.github.io/Logging_0683/klagomål/A 17221-2025 FSC-klagomål.docx", "A 17221-2025")</f>
        <v/>
      </c>
      <c r="AB26">
        <f>HYPERLINK("https://klasma.github.io/Logging_0683/klagomålsmail/A 17221-2025 FSC-klagomål mail.docx", "A 17221-2025")</f>
        <v/>
      </c>
      <c r="AC26">
        <f>HYPERLINK("https://klasma.github.io/Logging_0683/tillsyn/A 17221-2025 tillsynsbegäran.docx", "A 17221-2025")</f>
        <v/>
      </c>
      <c r="AD26">
        <f>HYPERLINK("https://klasma.github.io/Logging_0683/tillsynsmail/A 17221-2025 tillsynsbegäran mail.docx", "A 17221-2025")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46275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46275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46275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46275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33366-2025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46275</v>
      </c>
      <c r="F31" t="inlineStr">
        <is>
          <t>JÖNKÖPINGS LÄN</t>
        </is>
      </c>
      <c r="G31" t="inlineStr">
        <is>
          <t>VÄRNAMO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Strandlummer</t>
        </is>
      </c>
      <c r="W31">
        <f>HYPERLINK("https://klasma.github.io/Logging_0683/artfynd/A 33366-2025 artfynd.xlsx", "A 33366-2025")</f>
        <v/>
      </c>
      <c r="X31">
        <f>HYPERLINK("https://klasma.github.io/Logging_0683/kartor/A 33366-2025 karta.png", "A 33366-2025")</f>
        <v/>
      </c>
      <c r="Y31">
        <f>HYPERLINK("https://klasma.github.io/Logging_0683/kartor_geotiff/A 33366-2025 georefererad karta.tif", "A 33366-2025")</f>
        <v/>
      </c>
      <c r="AA31">
        <f>HYPERLINK("https://klasma.github.io/Logging_0683/klagomål/A 33366-2025 FSC-klagomål.docx", "A 33366-2025")</f>
        <v/>
      </c>
      <c r="AB31">
        <f>HYPERLINK("https://klasma.github.io/Logging_0683/klagomålsmail/A 33366-2025 FSC-klagomål mail.docx", "A 33366-2025")</f>
        <v/>
      </c>
      <c r="AC31">
        <f>HYPERLINK("https://klasma.github.io/Logging_0683/tillsyn/A 33366-2025 tillsynsbegäran.docx", "A 33366-2025")</f>
        <v/>
      </c>
      <c r="AD31">
        <f>HYPERLINK("https://klasma.github.io/Logging_0683/tillsynsmail/A 33366-2025 tillsynsbegäran mail.docx", "A 33366-2025")</f>
        <v/>
      </c>
    </row>
    <row r="32" ht="15" customHeight="1">
      <c r="A32" t="inlineStr">
        <is>
          <t>A 61264-2023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46275</v>
      </c>
      <c r="F32" t="inlineStr">
        <is>
          <t>JÖNKÖPINGS LÄN</t>
        </is>
      </c>
      <c r="G32" t="inlineStr">
        <is>
          <t>VÄRNAMO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HYPERLINK("https://klasma.github.io/Logging_0683/artfynd/A 61264-2023 artfynd.xlsx", "A 61264-2023")</f>
        <v/>
      </c>
      <c r="X32">
        <f>HYPERLINK("https://klasma.github.io/Logging_0683/kartor/A 61264-2023 karta.png", "A 61264-2023")</f>
        <v/>
      </c>
      <c r="Y32">
        <f>HYPERLINK("https://klasma.github.io/Logging_0683/kartor_geotiff/A 61264-2023 georefererad karta.tif", "A 61264-2023")</f>
        <v/>
      </c>
      <c r="AA32">
        <f>HYPERLINK("https://klasma.github.io/Logging_0683/klagomål/A 61264-2023 FSC-klagomål.docx", "A 61264-2023")</f>
        <v/>
      </c>
      <c r="AB32">
        <f>HYPERLINK("https://klasma.github.io/Logging_0683/klagomålsmail/A 61264-2023 FSC-klagomål mail.docx", "A 61264-2023")</f>
        <v/>
      </c>
      <c r="AC32">
        <f>HYPERLINK("https://klasma.github.io/Logging_0683/tillsyn/A 61264-2023 tillsynsbegäran.docx", "A 61264-2023")</f>
        <v/>
      </c>
      <c r="AD32">
        <f>HYPERLINK("https://klasma.github.io/Logging_0683/tillsynsmail/A 61264-2023 tillsynsbegäran mail.docx", "A 61264-2023")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46275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46275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10842-2026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46078</v>
      </c>
      <c r="E35" s="1" t="n">
        <v>46275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Klockgentiana</t>
        </is>
      </c>
      <c r="W35">
        <f>HYPERLINK("https://klasma.github.io/Logging_0683/artfynd/A 10842-2026 artfynd.xlsx", "A 10842-2026")</f>
        <v/>
      </c>
      <c r="X35">
        <f>HYPERLINK("https://klasma.github.io/Logging_0683/kartor/A 10842-2026 karta.png", "A 10842-2026")</f>
        <v/>
      </c>
      <c r="Y35">
        <f>HYPERLINK("https://klasma.github.io/Logging_0683/kartor_geotiff/A 10842-2026 georefererad karta.tif", "A 10842-2026")</f>
        <v/>
      </c>
      <c r="AA35">
        <f>HYPERLINK("https://klasma.github.io/Logging_0683/klagomål/A 10842-2026 FSC-klagomål.docx", "A 10842-2026")</f>
        <v/>
      </c>
      <c r="AB35">
        <f>HYPERLINK("https://klasma.github.io/Logging_0683/klagomålsmail/A 10842-2026 FSC-klagomål mail.docx", "A 10842-2026")</f>
        <v/>
      </c>
      <c r="AC35">
        <f>HYPERLINK("https://klasma.github.io/Logging_0683/tillsyn/A 10842-2026 tillsynsbegäran.docx", "A 10842-2026")</f>
        <v/>
      </c>
      <c r="AD35">
        <f>HYPERLINK("https://klasma.github.io/Logging_0683/tillsynsmail/A 10842-2026 tillsynsbegäran mail.docx", "A 10842-2026")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46275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HYPERLINK("https://klasma.github.io/Logging_0683/artfynd/A 23920-2026 artfynd.xlsx", "A 23920-2026")</f>
        <v/>
      </c>
      <c r="X36">
        <f>HYPERLINK("https://klasma.github.io/Logging_0683/kartor/A 23920-2026 karta.png", "A 23920-2026")</f>
        <v/>
      </c>
      <c r="Y36">
        <f>HYPERLINK("https://klasma.github.io/Logging_0683/kartor_geotiff/A 23920-2026 georefererad karta.tif", "A 23920-2026")</f>
        <v/>
      </c>
      <c r="AA36">
        <f>HYPERLINK("https://klasma.github.io/Logging_0683/klagomål/A 23920-2026 FSC-klagomål.docx", "A 23920-2026")</f>
        <v/>
      </c>
      <c r="AB36">
        <f>HYPERLINK("https://klasma.github.io/Logging_0683/klagomålsmail/A 23920-2026 FSC-klagomål mail.docx", "A 23920-2026")</f>
        <v/>
      </c>
      <c r="AC36">
        <f>HYPERLINK("https://klasma.github.io/Logging_0683/tillsyn/A 23920-2026 tillsynsbegäran.docx", "A 23920-2026")</f>
        <v/>
      </c>
      <c r="AD36">
        <f>HYPERLINK("https://klasma.github.io/Logging_0683/tillsynsmail/A 23920-2026 tillsynsbegäran mail.docx", "A 23920-2026")</f>
        <v/>
      </c>
    </row>
    <row r="37" ht="15" customHeight="1">
      <c r="A37" t="inlineStr">
        <is>
          <t>A 27295-2026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46275</v>
      </c>
      <c r="F37" t="inlineStr">
        <is>
          <t>JÖNKÖPINGS LÄN</t>
        </is>
      </c>
      <c r="G37" t="inlineStr">
        <is>
          <t>VÄRNAMO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HYPERLINK("https://klasma.github.io/Logging_0683/artfynd/A 27295-2026 artfynd.xlsx", "A 27295-2026")</f>
        <v/>
      </c>
      <c r="X37">
        <f>HYPERLINK("https://klasma.github.io/Logging_0683/kartor/A 27295-2026 karta.png", "A 27295-2026")</f>
        <v/>
      </c>
      <c r="Y37">
        <f>HYPERLINK("https://klasma.github.io/Logging_0683/kartor_geotiff/A 27295-2026 georefererad karta.tif", "A 27295-2026")</f>
        <v/>
      </c>
      <c r="AA37">
        <f>HYPERLINK("https://klasma.github.io/Logging_0683/klagomål/A 27295-2026 FSC-klagomål.docx", "A 27295-2026")</f>
        <v/>
      </c>
      <c r="AB37">
        <f>HYPERLINK("https://klasma.github.io/Logging_0683/klagomålsmail/A 27295-2026 FSC-klagomål mail.docx", "A 27295-2026")</f>
        <v/>
      </c>
      <c r="AC37">
        <f>HYPERLINK("https://klasma.github.io/Logging_0683/tillsyn/A 27295-2026 tillsynsbegäran.docx", "A 27295-2026")</f>
        <v/>
      </c>
      <c r="AD37">
        <f>HYPERLINK("https://klasma.github.io/Logging_0683/tillsynsmail/A 27295-2026 tillsynsbegäran mail.docx", "A 27295-2026")</f>
        <v/>
      </c>
    </row>
    <row r="38" ht="15" customHeight="1">
      <c r="A38" t="inlineStr">
        <is>
          <t>A 28002-2026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46275</v>
      </c>
      <c r="F38" t="inlineStr">
        <is>
          <t>JÖNKÖPINGS LÄN</t>
        </is>
      </c>
      <c r="G38" t="inlineStr">
        <is>
          <t>VÄRNAMO</t>
        </is>
      </c>
      <c r="H38" t="inlineStr">
        <is>
          <t>Sveaskog</t>
        </is>
      </c>
      <c r="I38" t="n">
        <v>26.9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Rostfläck</t>
        </is>
      </c>
      <c r="W38">
        <f>HYPERLINK("https://klasma.github.io/Logging_0683/artfynd/A 28002-2026 artfynd.xlsx", "A 28002-2026")</f>
        <v/>
      </c>
      <c r="X38">
        <f>HYPERLINK("https://klasma.github.io/Logging_0683/kartor/A 28002-2026 karta.png", "A 28002-2026")</f>
        <v/>
      </c>
      <c r="Y38">
        <f>HYPERLINK("https://klasma.github.io/Logging_0683/kartor_geotiff/A 28002-2026 georefererad karta.tif", "A 28002-2026")</f>
        <v/>
      </c>
      <c r="AA38">
        <f>HYPERLINK("https://klasma.github.io/Logging_0683/klagomål/A 28002-2026 FSC-klagomål.docx", "A 28002-2026")</f>
        <v/>
      </c>
      <c r="AB38">
        <f>HYPERLINK("https://klasma.github.io/Logging_0683/klagomålsmail/A 28002-2026 FSC-klagomål mail.docx", "A 28002-2026")</f>
        <v/>
      </c>
      <c r="AC38">
        <f>HYPERLINK("https://klasma.github.io/Logging_0683/tillsyn/A 28002-2026 tillsynsbegäran.docx", "A 28002-2026")</f>
        <v/>
      </c>
      <c r="AD38">
        <f>HYPERLINK("https://klasma.github.io/Logging_0683/tillsynsmail/A 28002-2026 tillsynsbegäran mail.docx", "A 28002-2026")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46275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46275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46275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46275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46275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46275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46275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46275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46275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46275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46275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46275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46275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46275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46275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46275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46275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46275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46275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46275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46275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46275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46275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46275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46275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46275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46275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46275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46275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46275</v>
      </c>
      <c r="F68" t="inlineStr">
        <is>
          <t>JÖNKÖPINGS LÄN</t>
        </is>
      </c>
      <c r="G68" t="inlineStr">
        <is>
          <t>VÄRNAMO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46275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11253-2022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44629</v>
      </c>
      <c r="E70" s="1" t="n">
        <v>46275</v>
      </c>
      <c r="F70" t="inlineStr">
        <is>
          <t>JÖNKÖPINGS LÄN</t>
        </is>
      </c>
      <c r="G70" t="inlineStr">
        <is>
          <t>VÄRNAMO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46275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48136-2021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44449</v>
      </c>
      <c r="E72" s="1" t="n">
        <v>46275</v>
      </c>
      <c r="F72" t="inlineStr">
        <is>
          <t>JÖNKÖPINGS LÄN</t>
        </is>
      </c>
      <c r="G72" t="inlineStr">
        <is>
          <t>VÄRNAMO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71848-2021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44539</v>
      </c>
      <c r="E73" s="1" t="n">
        <v>46275</v>
      </c>
      <c r="F73" t="inlineStr">
        <is>
          <t>JÖNKÖPINGS LÄN</t>
        </is>
      </c>
      <c r="G73" t="inlineStr">
        <is>
          <t>VÄRNAMO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46275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44776</v>
      </c>
      <c r="E75" s="1" t="n">
        <v>46275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46275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46275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44607</v>
      </c>
      <c r="E78" s="1" t="n">
        <v>46275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46275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74127-2021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44557</v>
      </c>
      <c r="E80" s="1" t="n">
        <v>46275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46275</v>
      </c>
      <c r="F81" t="inlineStr">
        <is>
          <t>JÖNKÖPINGS LÄN</t>
        </is>
      </c>
      <c r="G81" t="inlineStr">
        <is>
          <t>VÄRNAMO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48131-2021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44449</v>
      </c>
      <c r="E82" s="1" t="n">
        <v>46275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46275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46275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54477-2021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46275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44473</v>
      </c>
      <c r="E86" s="1" t="n">
        <v>46275</v>
      </c>
      <c r="F86" t="inlineStr">
        <is>
          <t>JÖNKÖPINGS LÄN</t>
        </is>
      </c>
      <c r="G86" t="inlineStr">
        <is>
          <t>VÄRNAMO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46275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46275</v>
      </c>
      <c r="F88" t="inlineStr">
        <is>
          <t>JÖNKÖPINGS LÄN</t>
        </is>
      </c>
      <c r="G88" t="inlineStr">
        <is>
          <t>VÄRNAMO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46275</v>
      </c>
      <c r="F89" t="inlineStr">
        <is>
          <t>JÖNKÖPINGS LÄN</t>
        </is>
      </c>
      <c r="G89" t="inlineStr">
        <is>
          <t>VÄRNAMO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61912-2021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44502</v>
      </c>
      <c r="E90" s="1" t="n">
        <v>46275</v>
      </c>
      <c r="F90" t="inlineStr">
        <is>
          <t>JÖNKÖPINGS LÄN</t>
        </is>
      </c>
      <c r="G90" t="inlineStr">
        <is>
          <t>VÄRNAMO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46275</v>
      </c>
      <c r="F91" t="inlineStr">
        <is>
          <t>JÖNKÖPINGS LÄN</t>
        </is>
      </c>
      <c r="G91" t="inlineStr">
        <is>
          <t>VÄRNAMO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46275</v>
      </c>
      <c r="F92" t="inlineStr">
        <is>
          <t>JÖNKÖPINGS LÄN</t>
        </is>
      </c>
      <c r="G92" t="inlineStr">
        <is>
          <t>VÄRNAMO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46275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46275</v>
      </c>
      <c r="F94" t="inlineStr">
        <is>
          <t>JÖNKÖPINGS LÄN</t>
        </is>
      </c>
      <c r="G94" t="inlineStr">
        <is>
          <t>VÄRNAMO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44616</v>
      </c>
      <c r="E95" s="1" t="n">
        <v>46275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46275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46275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46275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47987-2022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44853</v>
      </c>
      <c r="E99" s="1" t="n">
        <v>46275</v>
      </c>
      <c r="F99" t="inlineStr">
        <is>
          <t>JÖNKÖPINGS LÄN</t>
        </is>
      </c>
      <c r="G99" t="inlineStr">
        <is>
          <t>VÄRNAMO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46275</v>
      </c>
      <c r="F100" t="inlineStr">
        <is>
          <t>JÖNKÖPINGS LÄN</t>
        </is>
      </c>
      <c r="G100" t="inlineStr">
        <is>
          <t>VÄRNAMO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45674</v>
      </c>
      <c r="E101" s="1" t="n">
        <v>46275</v>
      </c>
      <c r="F101" t="inlineStr">
        <is>
          <t>JÖNKÖPINGS LÄN</t>
        </is>
      </c>
      <c r="G101" t="inlineStr">
        <is>
          <t>VÄRNAMO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14240-2024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46275</v>
      </c>
      <c r="F102" t="inlineStr">
        <is>
          <t>JÖNKÖPINGS LÄN</t>
        </is>
      </c>
      <c r="G102" t="inlineStr">
        <is>
          <t>VÄRNAMO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46275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46275</v>
      </c>
      <c r="F104" t="inlineStr">
        <is>
          <t>JÖNKÖPINGS LÄN</t>
        </is>
      </c>
      <c r="G104" t="inlineStr">
        <is>
          <t>VÄRNAMO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46275</v>
      </c>
      <c r="F105" t="inlineStr">
        <is>
          <t>JÖNKÖPINGS LÄN</t>
        </is>
      </c>
      <c r="G105" t="inlineStr">
        <is>
          <t>VÄRNAMO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46275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45243</v>
      </c>
      <c r="E107" s="1" t="n">
        <v>46275</v>
      </c>
      <c r="F107" t="inlineStr">
        <is>
          <t>JÖNKÖPINGS LÄN</t>
        </is>
      </c>
      <c r="G107" t="inlineStr">
        <is>
          <t>VÄRNAMO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46275</v>
      </c>
      <c r="F108" t="inlineStr">
        <is>
          <t>JÖNKÖPINGS LÄN</t>
        </is>
      </c>
      <c r="G108" t="inlineStr">
        <is>
          <t>VÄRNAMO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46275</v>
      </c>
      <c r="F109" t="inlineStr">
        <is>
          <t>JÖNKÖPINGS LÄN</t>
        </is>
      </c>
      <c r="G109" t="inlineStr">
        <is>
          <t>VÄRNAMO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46275</v>
      </c>
      <c r="F110" t="inlineStr">
        <is>
          <t>JÖNKÖPINGS LÄN</t>
        </is>
      </c>
      <c r="G110" t="inlineStr">
        <is>
          <t>VÄRNAMO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22296-2024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46275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62294-2023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46275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40486-2022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44823</v>
      </c>
      <c r="E113" s="1" t="n">
        <v>46275</v>
      </c>
      <c r="F113" t="inlineStr">
        <is>
          <t>JÖNKÖPINGS LÄN</t>
        </is>
      </c>
      <c r="G113" t="inlineStr">
        <is>
          <t>VÄRNAMO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71233-2021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46275</v>
      </c>
      <c r="F114" t="inlineStr">
        <is>
          <t>JÖNKÖPINGS LÄN</t>
        </is>
      </c>
      <c r="G114" t="inlineStr">
        <is>
          <t>VÄRNAMO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46275</v>
      </c>
      <c r="F115" t="inlineStr">
        <is>
          <t>JÖNKÖPINGS LÄN</t>
        </is>
      </c>
      <c r="G115" t="inlineStr">
        <is>
          <t>VÄRNAMO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45221</v>
      </c>
      <c r="E116" s="1" t="n">
        <v>46275</v>
      </c>
      <c r="F116" t="inlineStr">
        <is>
          <t>JÖNKÖPINGS LÄN</t>
        </is>
      </c>
      <c r="G116" t="inlineStr">
        <is>
          <t>VÄRNAMO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46275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46275</v>
      </c>
      <c r="F118" t="inlineStr">
        <is>
          <t>JÖNKÖPINGS LÄN</t>
        </is>
      </c>
      <c r="G118" t="inlineStr">
        <is>
          <t>VÄRNAMO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46275</v>
      </c>
      <c r="F119" t="inlineStr">
        <is>
          <t>JÖNKÖPINGS LÄN</t>
        </is>
      </c>
      <c r="G119" t="inlineStr">
        <is>
          <t>VÄRNAMO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46275</v>
      </c>
      <c r="F120" t="inlineStr">
        <is>
          <t>JÖNKÖPINGS LÄN</t>
        </is>
      </c>
      <c r="G120" t="inlineStr">
        <is>
          <t>VÄRNAMO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45324</v>
      </c>
      <c r="E121" s="1" t="n">
        <v>46275</v>
      </c>
      <c r="F121" t="inlineStr">
        <is>
          <t>JÖNKÖPINGS LÄN</t>
        </is>
      </c>
      <c r="G121" t="inlineStr">
        <is>
          <t>VÄRNAMO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46275</v>
      </c>
      <c r="F122" t="inlineStr">
        <is>
          <t>JÖNKÖPINGS LÄN</t>
        </is>
      </c>
      <c r="G122" t="inlineStr">
        <is>
          <t>VÄRNAMO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44473</v>
      </c>
      <c r="E123" s="1" t="n">
        <v>46275</v>
      </c>
      <c r="F123" t="inlineStr">
        <is>
          <t>JÖNKÖPINGS LÄN</t>
        </is>
      </c>
      <c r="G123" t="inlineStr">
        <is>
          <t>VÄRNAMO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46275</v>
      </c>
      <c r="F124" t="inlineStr">
        <is>
          <t>JÖNKÖPINGS LÄN</t>
        </is>
      </c>
      <c r="G124" t="inlineStr">
        <is>
          <t>VÄRNAMO</t>
        </is>
      </c>
      <c r="H124" t="inlineStr">
        <is>
          <t>Sveaskog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46275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46275</v>
      </c>
      <c r="F126" t="inlineStr">
        <is>
          <t>JÖNKÖPINGS LÄN</t>
        </is>
      </c>
      <c r="G126" t="inlineStr">
        <is>
          <t>VÄRNAMO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46275</v>
      </c>
      <c r="F127" t="inlineStr">
        <is>
          <t>JÖNKÖPINGS LÄN</t>
        </is>
      </c>
      <c r="G127" t="inlineStr">
        <is>
          <t>VÄRNAMO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17468-2023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45036</v>
      </c>
      <c r="E128" s="1" t="n">
        <v>46275</v>
      </c>
      <c r="F128" t="inlineStr">
        <is>
          <t>JÖNKÖPINGS LÄN</t>
        </is>
      </c>
      <c r="G128" t="inlineStr">
        <is>
          <t>VÄRNAMO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46275</v>
      </c>
      <c r="F129" t="inlineStr">
        <is>
          <t>JÖNKÖPINGS LÄN</t>
        </is>
      </c>
      <c r="G129" t="inlineStr">
        <is>
          <t>VÄRNAMO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46275</v>
      </c>
      <c r="F130" t="inlineStr">
        <is>
          <t>JÖNKÖPINGS LÄN</t>
        </is>
      </c>
      <c r="G130" t="inlineStr">
        <is>
          <t>VÄRNAMO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44727</v>
      </c>
      <c r="E131" s="1" t="n">
        <v>46275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46275</v>
      </c>
      <c r="F132" t="inlineStr">
        <is>
          <t>JÖNKÖPINGS LÄN</t>
        </is>
      </c>
      <c r="G132" t="inlineStr">
        <is>
          <t>VÄRNAMO</t>
        </is>
      </c>
      <c r="H132" t="inlineStr">
        <is>
          <t>Kommuner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46275</v>
      </c>
      <c r="F133" t="inlineStr">
        <is>
          <t>JÖNKÖPINGS LÄN</t>
        </is>
      </c>
      <c r="G133" t="inlineStr">
        <is>
          <t>VÄRNAMO</t>
        </is>
      </c>
      <c r="H133" t="inlineStr">
        <is>
          <t>Övriga Aktiebolag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45406</v>
      </c>
      <c r="E134" s="1" t="n">
        <v>46275</v>
      </c>
      <c r="F134" t="inlineStr">
        <is>
          <t>JÖNKÖPINGS LÄN</t>
        </is>
      </c>
      <c r="G134" t="inlineStr">
        <is>
          <t>VÄRNAMO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46275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46275</v>
      </c>
      <c r="F136" t="inlineStr">
        <is>
          <t>JÖNKÖPINGS LÄN</t>
        </is>
      </c>
      <c r="G136" t="inlineStr">
        <is>
          <t>VÄRNAMO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46275</v>
      </c>
      <c r="F137" t="inlineStr">
        <is>
          <t>JÖNKÖPINGS LÄN</t>
        </is>
      </c>
      <c r="G137" t="inlineStr">
        <is>
          <t>VÄRNAMO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45037</v>
      </c>
      <c r="E138" s="1" t="n">
        <v>46275</v>
      </c>
      <c r="F138" t="inlineStr">
        <is>
          <t>JÖNKÖPINGS LÄN</t>
        </is>
      </c>
      <c r="G138" t="inlineStr">
        <is>
          <t>VÄRNAMO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46275</v>
      </c>
      <c r="F139" t="inlineStr">
        <is>
          <t>JÖNKÖPINGS LÄN</t>
        </is>
      </c>
      <c r="G139" t="inlineStr">
        <is>
          <t>VÄRNAMO</t>
        </is>
      </c>
      <c r="H139" t="inlineStr">
        <is>
          <t>Övriga Aktiebolag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46275</v>
      </c>
      <c r="F140" t="inlineStr">
        <is>
          <t>JÖNKÖPINGS LÄN</t>
        </is>
      </c>
      <c r="G140" t="inlineStr">
        <is>
          <t>VÄRNAMO</t>
        </is>
      </c>
      <c r="H140" t="inlineStr">
        <is>
          <t>Kyrkan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46275</v>
      </c>
      <c r="F141" t="inlineStr">
        <is>
          <t>JÖNKÖPINGS LÄN</t>
        </is>
      </c>
      <c r="G141" t="inlineStr">
        <is>
          <t>VÄRNAMO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46275</v>
      </c>
      <c r="F142" t="inlineStr">
        <is>
          <t>JÖNKÖPINGS LÄN</t>
        </is>
      </c>
      <c r="G142" t="inlineStr">
        <is>
          <t>VÄRNAMO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46275</v>
      </c>
      <c r="F143" t="inlineStr">
        <is>
          <t>JÖNKÖPINGS LÄN</t>
        </is>
      </c>
      <c r="G143" t="inlineStr">
        <is>
          <t>VÄRNAMO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45170</v>
      </c>
      <c r="E144" s="1" t="n">
        <v>46275</v>
      </c>
      <c r="F144" t="inlineStr">
        <is>
          <t>JÖNKÖPINGS LÄN</t>
        </is>
      </c>
      <c r="G144" t="inlineStr">
        <is>
          <t>VÄRNAMO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45761</v>
      </c>
      <c r="E145" s="1" t="n">
        <v>46275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45735</v>
      </c>
      <c r="E146" s="1" t="n">
        <v>46275</v>
      </c>
      <c r="F146" t="inlineStr">
        <is>
          <t>JÖNKÖPINGS LÄN</t>
        </is>
      </c>
      <c r="G146" t="inlineStr">
        <is>
          <t>VÄRNAMO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46275</v>
      </c>
      <c r="F147" t="inlineStr">
        <is>
          <t>JÖNKÖPINGS LÄN</t>
        </is>
      </c>
      <c r="G147" t="inlineStr">
        <is>
          <t>VÄRNAMO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45302</v>
      </c>
      <c r="E148" s="1" t="n">
        <v>46275</v>
      </c>
      <c r="F148" t="inlineStr">
        <is>
          <t>JÖNKÖPINGS LÄN</t>
        </is>
      </c>
      <c r="G148" t="inlineStr">
        <is>
          <t>VÄRNAMO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44602</v>
      </c>
      <c r="E149" s="1" t="n">
        <v>46275</v>
      </c>
      <c r="F149" t="inlineStr">
        <is>
          <t>JÖNKÖPINGS LÄN</t>
        </is>
      </c>
      <c r="G149" t="inlineStr">
        <is>
          <t>VÄRNAMO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54000-2021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44470</v>
      </c>
      <c r="E150" s="1" t="n">
        <v>46275</v>
      </c>
      <c r="F150" t="inlineStr">
        <is>
          <t>JÖNKÖPINGS LÄN</t>
        </is>
      </c>
      <c r="G150" t="inlineStr">
        <is>
          <t>VÄRNAMO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46275</v>
      </c>
      <c r="F151" t="inlineStr">
        <is>
          <t>JÖNKÖPINGS LÄN</t>
        </is>
      </c>
      <c r="G151" t="inlineStr">
        <is>
          <t>VÄRNAMO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44699</v>
      </c>
      <c r="E152" s="1" t="n">
        <v>46275</v>
      </c>
      <c r="F152" t="inlineStr">
        <is>
          <t>JÖNKÖPINGS LÄN</t>
        </is>
      </c>
      <c r="G152" t="inlineStr">
        <is>
          <t>VÄRNAMO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46275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46275</v>
      </c>
      <c r="F154" t="inlineStr">
        <is>
          <t>JÖNKÖPINGS LÄN</t>
        </is>
      </c>
      <c r="G154" t="inlineStr">
        <is>
          <t>VÄRNAMO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46275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46275</v>
      </c>
      <c r="F156" t="inlineStr">
        <is>
          <t>JÖNKÖPINGS LÄN</t>
        </is>
      </c>
      <c r="G156" t="inlineStr">
        <is>
          <t>VÄRNAMO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45475</v>
      </c>
      <c r="E157" s="1" t="n">
        <v>46275</v>
      </c>
      <c r="F157" t="inlineStr">
        <is>
          <t>JÖNKÖPINGS LÄN</t>
        </is>
      </c>
      <c r="G157" t="inlineStr">
        <is>
          <t>VÄRNAMO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46275</v>
      </c>
      <c r="F158" t="inlineStr">
        <is>
          <t>JÖNKÖPINGS LÄN</t>
        </is>
      </c>
      <c r="G158" t="inlineStr">
        <is>
          <t>VÄRNAMO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46275</v>
      </c>
      <c r="F159" t="inlineStr">
        <is>
          <t>JÖNKÖPINGS LÄN</t>
        </is>
      </c>
      <c r="G159" t="inlineStr">
        <is>
          <t>VÄRNAMO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46275</v>
      </c>
      <c r="F160" t="inlineStr">
        <is>
          <t>JÖNKÖPINGS LÄN</t>
        </is>
      </c>
      <c r="G160" t="inlineStr">
        <is>
          <t>VÄRNAMO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45009</v>
      </c>
      <c r="E161" s="1" t="n">
        <v>46275</v>
      </c>
      <c r="F161" t="inlineStr">
        <is>
          <t>JÖNKÖPINGS LÄN</t>
        </is>
      </c>
      <c r="G161" t="inlineStr">
        <is>
          <t>VÄRNAMO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46275</v>
      </c>
      <c r="F162" t="inlineStr">
        <is>
          <t>JÖNKÖPINGS LÄN</t>
        </is>
      </c>
      <c r="G162" t="inlineStr">
        <is>
          <t>VÄRNAMO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46275</v>
      </c>
      <c r="F163" t="inlineStr">
        <is>
          <t>JÖNKÖPINGS LÄN</t>
        </is>
      </c>
      <c r="G163" t="inlineStr">
        <is>
          <t>VÄRNAMO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46275</v>
      </c>
      <c r="F164" t="inlineStr">
        <is>
          <t>JÖNKÖPINGS LÄN</t>
        </is>
      </c>
      <c r="G164" t="inlineStr">
        <is>
          <t>VÄRNAMO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46275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46275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46275</v>
      </c>
      <c r="F167" t="inlineStr">
        <is>
          <t>JÖNKÖPINGS LÄN</t>
        </is>
      </c>
      <c r="G167" t="inlineStr">
        <is>
          <t>VÄRNAMO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29166-2023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45105</v>
      </c>
      <c r="E168" s="1" t="n">
        <v>46275</v>
      </c>
      <c r="F168" t="inlineStr">
        <is>
          <t>JÖNKÖPINGS LÄN</t>
        </is>
      </c>
      <c r="G168" t="inlineStr">
        <is>
          <t>VÄRNAMO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46275</v>
      </c>
      <c r="F169" t="inlineStr">
        <is>
          <t>JÖNKÖPINGS LÄN</t>
        </is>
      </c>
      <c r="G169" t="inlineStr">
        <is>
          <t>VÄRNAMO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46275</v>
      </c>
      <c r="F170" t="inlineStr">
        <is>
          <t>JÖNKÖPINGS LÄN</t>
        </is>
      </c>
      <c r="G170" t="inlineStr">
        <is>
          <t>VÄRNAMO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24703-2022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44727</v>
      </c>
      <c r="E171" s="1" t="n">
        <v>46275</v>
      </c>
      <c r="F171" t="inlineStr">
        <is>
          <t>JÖNKÖPINGS LÄN</t>
        </is>
      </c>
      <c r="G171" t="inlineStr">
        <is>
          <t>VÄRNAMO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46275</v>
      </c>
      <c r="F172" t="inlineStr">
        <is>
          <t>JÖNKÖPINGS LÄN</t>
        </is>
      </c>
      <c r="G172" t="inlineStr">
        <is>
          <t>VÄRNAMO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45069</v>
      </c>
      <c r="E173" s="1" t="n">
        <v>46275</v>
      </c>
      <c r="F173" t="inlineStr">
        <is>
          <t>JÖNKÖPINGS LÄN</t>
        </is>
      </c>
      <c r="G173" t="inlineStr">
        <is>
          <t>VÄRNAMO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46275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51463-2022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44869</v>
      </c>
      <c r="E175" s="1" t="n">
        <v>46275</v>
      </c>
      <c r="F175" t="inlineStr">
        <is>
          <t>JÖNKÖPINGS LÄN</t>
        </is>
      </c>
      <c r="G175" t="inlineStr">
        <is>
          <t>VÄRNAMO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46275</v>
      </c>
      <c r="F176" t="inlineStr">
        <is>
          <t>JÖNKÖPINGS LÄN</t>
        </is>
      </c>
      <c r="G176" t="inlineStr">
        <is>
          <t>VÄRNAMO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46275</v>
      </c>
      <c r="F177" t="inlineStr">
        <is>
          <t>JÖNKÖPINGS LÄN</t>
        </is>
      </c>
      <c r="G177" t="inlineStr">
        <is>
          <t>VÄRNAMO</t>
        </is>
      </c>
      <c r="I177" t="n">
        <v>10.4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29162-2023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45105</v>
      </c>
      <c r="E178" s="1" t="n">
        <v>46275</v>
      </c>
      <c r="F178" t="inlineStr">
        <is>
          <t>JÖNKÖPINGS LÄN</t>
        </is>
      </c>
      <c r="G178" t="inlineStr">
        <is>
          <t>VÄRNAMO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29168-2023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45105</v>
      </c>
      <c r="E179" s="1" t="n">
        <v>46275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46275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8968-2024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45357</v>
      </c>
      <c r="E181" s="1" t="n">
        <v>46275</v>
      </c>
      <c r="F181" t="inlineStr">
        <is>
          <t>JÖNKÖPINGS LÄN</t>
        </is>
      </c>
      <c r="G181" t="inlineStr">
        <is>
          <t>VÄRNAMO</t>
        </is>
      </c>
      <c r="H181" t="inlineStr">
        <is>
          <t>Sveaskog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46275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46275</v>
      </c>
      <c r="F183" t="inlineStr">
        <is>
          <t>JÖNKÖPINGS LÄN</t>
        </is>
      </c>
      <c r="G183" t="inlineStr">
        <is>
          <t>VÄRNAMO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45200</v>
      </c>
      <c r="E184" s="1" t="n">
        <v>46275</v>
      </c>
      <c r="F184" t="inlineStr">
        <is>
          <t>JÖNKÖPINGS LÄN</t>
        </is>
      </c>
      <c r="G184" t="inlineStr">
        <is>
          <t>VÄRNAMO</t>
        </is>
      </c>
      <c r="H184" t="inlineStr">
        <is>
          <t>Övriga Aktiebolag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74102-2021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44557</v>
      </c>
      <c r="E185" s="1" t="n">
        <v>46275</v>
      </c>
      <c r="F185" t="inlineStr">
        <is>
          <t>JÖNKÖPINGS LÄN</t>
        </is>
      </c>
      <c r="G185" t="inlineStr">
        <is>
          <t>VÄRNAMO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46275</v>
      </c>
      <c r="F186" t="inlineStr">
        <is>
          <t>JÖNKÖPINGS LÄN</t>
        </is>
      </c>
      <c r="G186" t="inlineStr">
        <is>
          <t>VÄRNAMO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46275</v>
      </c>
      <c r="F187" t="inlineStr">
        <is>
          <t>JÖNKÖPINGS LÄN</t>
        </is>
      </c>
      <c r="G187" t="inlineStr">
        <is>
          <t>VÄRNAMO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46275</v>
      </c>
      <c r="F188" t="inlineStr">
        <is>
          <t>JÖNKÖPINGS LÄN</t>
        </is>
      </c>
      <c r="G188" t="inlineStr">
        <is>
          <t>VÄRNAMO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46275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46275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46275</v>
      </c>
      <c r="F191" t="inlineStr">
        <is>
          <t>JÖNKÖPINGS LÄN</t>
        </is>
      </c>
      <c r="G191" t="inlineStr">
        <is>
          <t>VÄRNAMO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46275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46275</v>
      </c>
      <c r="F193" t="inlineStr">
        <is>
          <t>JÖNKÖPINGS LÄN</t>
        </is>
      </c>
      <c r="G193" t="inlineStr">
        <is>
          <t>VÄRNAMO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46275</v>
      </c>
      <c r="F194" t="inlineStr">
        <is>
          <t>JÖNKÖPINGS LÄN</t>
        </is>
      </c>
      <c r="G194" t="inlineStr">
        <is>
          <t>VÄRNAMO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44998</v>
      </c>
      <c r="E195" s="1" t="n">
        <v>46275</v>
      </c>
      <c r="F195" t="inlineStr">
        <is>
          <t>JÖNKÖPINGS LÄN</t>
        </is>
      </c>
      <c r="G195" t="inlineStr">
        <is>
          <t>VÄRNAMO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45056</v>
      </c>
      <c r="E196" s="1" t="n">
        <v>46275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46275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46275</v>
      </c>
      <c r="F198" t="inlineStr">
        <is>
          <t>JÖNKÖPINGS LÄN</t>
        </is>
      </c>
      <c r="G198" t="inlineStr">
        <is>
          <t>VÄRNAMO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45496</v>
      </c>
      <c r="E199" s="1" t="n">
        <v>46275</v>
      </c>
      <c r="F199" t="inlineStr">
        <is>
          <t>JÖNKÖPINGS LÄN</t>
        </is>
      </c>
      <c r="G199" t="inlineStr">
        <is>
          <t>VÄRNAMO</t>
        </is>
      </c>
      <c r="H199" t="inlineStr">
        <is>
          <t>Kommuner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45007</v>
      </c>
      <c r="E200" s="1" t="n">
        <v>46275</v>
      </c>
      <c r="F200" t="inlineStr">
        <is>
          <t>JÖNKÖPINGS LÄN</t>
        </is>
      </c>
      <c r="G200" t="inlineStr">
        <is>
          <t>VÄRNAMO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74026-2021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44553</v>
      </c>
      <c r="E201" s="1" t="n">
        <v>46275</v>
      </c>
      <c r="F201" t="inlineStr">
        <is>
          <t>JÖNKÖPINGS LÄN</t>
        </is>
      </c>
      <c r="G201" t="inlineStr">
        <is>
          <t>VÄRNAMO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74027-2021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44553</v>
      </c>
      <c r="E202" s="1" t="n">
        <v>46275</v>
      </c>
      <c r="F202" t="inlineStr">
        <is>
          <t>JÖNKÖPINGS LÄN</t>
        </is>
      </c>
      <c r="G202" t="inlineStr">
        <is>
          <t>VÄRNAMO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45217</v>
      </c>
      <c r="E203" s="1" t="n">
        <v>46275</v>
      </c>
      <c r="F203" t="inlineStr">
        <is>
          <t>JÖNKÖPINGS LÄN</t>
        </is>
      </c>
      <c r="G203" t="inlineStr">
        <is>
          <t>VÄRNAMO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46275</v>
      </c>
      <c r="F204" t="inlineStr">
        <is>
          <t>JÖNKÖPINGS LÄN</t>
        </is>
      </c>
      <c r="G204" t="inlineStr">
        <is>
          <t>VÄRNAMO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56272-2022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46275</v>
      </c>
      <c r="F205" t="inlineStr">
        <is>
          <t>JÖNKÖPINGS LÄN</t>
        </is>
      </c>
      <c r="G205" t="inlineStr">
        <is>
          <t>VÄRNAMO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46275</v>
      </c>
      <c r="F206" t="inlineStr">
        <is>
          <t>JÖNKÖPINGS LÄN</t>
        </is>
      </c>
      <c r="G206" t="inlineStr">
        <is>
          <t>VÄRNAMO</t>
        </is>
      </c>
      <c r="H206" t="inlineStr">
        <is>
          <t>Kommuner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46275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46275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46275</v>
      </c>
      <c r="F209" t="inlineStr">
        <is>
          <t>JÖNKÖPINGS LÄN</t>
        </is>
      </c>
      <c r="G209" t="inlineStr">
        <is>
          <t>VÄRNAMO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46275</v>
      </c>
      <c r="F210" t="inlineStr">
        <is>
          <t>JÖNKÖPINGS LÄN</t>
        </is>
      </c>
      <c r="G210" t="inlineStr">
        <is>
          <t>VÄRNAMO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46275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46275</v>
      </c>
      <c r="F212" t="inlineStr">
        <is>
          <t>JÖNKÖPINGS LÄN</t>
        </is>
      </c>
      <c r="G212" t="inlineStr">
        <is>
          <t>VÄRNAMO</t>
        </is>
      </c>
      <c r="H212" t="inlineStr">
        <is>
          <t>Kommuner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46275</v>
      </c>
      <c r="F213" t="inlineStr">
        <is>
          <t>JÖNKÖPINGS LÄN</t>
        </is>
      </c>
      <c r="G213" t="inlineStr">
        <is>
          <t>VÄRNAMO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46275</v>
      </c>
      <c r="F214" t="inlineStr">
        <is>
          <t>JÖNKÖPINGS LÄN</t>
        </is>
      </c>
      <c r="G214" t="inlineStr">
        <is>
          <t>VÄRNAMO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46275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54477-2022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44882</v>
      </c>
      <c r="E216" s="1" t="n">
        <v>46275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45278</v>
      </c>
      <c r="E217" s="1" t="n">
        <v>46275</v>
      </c>
      <c r="F217" t="inlineStr">
        <is>
          <t>JÖNKÖPINGS LÄN</t>
        </is>
      </c>
      <c r="G217" t="inlineStr">
        <is>
          <t>VÄRNAMO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45505</v>
      </c>
      <c r="E218" s="1" t="n">
        <v>46275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46275</v>
      </c>
      <c r="F219" t="inlineStr">
        <is>
          <t>JÖNKÖPINGS LÄN</t>
        </is>
      </c>
      <c r="G219" t="inlineStr">
        <is>
          <t>VÄRNAMO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44887</v>
      </c>
      <c r="E220" s="1" t="n">
        <v>46275</v>
      </c>
      <c r="F220" t="inlineStr">
        <is>
          <t>JÖNKÖPINGS LÄN</t>
        </is>
      </c>
      <c r="G220" t="inlineStr">
        <is>
          <t>VÄRNAMO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46275</v>
      </c>
      <c r="F221" t="inlineStr">
        <is>
          <t>JÖNKÖPINGS LÄN</t>
        </is>
      </c>
      <c r="G221" t="inlineStr">
        <is>
          <t>VÄRNAMO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45238</v>
      </c>
      <c r="E222" s="1" t="n">
        <v>46275</v>
      </c>
      <c r="F222" t="inlineStr">
        <is>
          <t>JÖNKÖPINGS LÄN</t>
        </is>
      </c>
      <c r="G222" t="inlineStr">
        <is>
          <t>VÄRNAMO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45618</v>
      </c>
      <c r="E223" s="1" t="n">
        <v>46275</v>
      </c>
      <c r="F223" t="inlineStr">
        <is>
          <t>JÖNKÖPINGS LÄN</t>
        </is>
      </c>
      <c r="G223" t="inlineStr">
        <is>
          <t>VÄRNAMO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46275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46275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45687</v>
      </c>
      <c r="E226" s="1" t="n">
        <v>46275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46275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46275</v>
      </c>
      <c r="F228" t="inlineStr">
        <is>
          <t>JÖNKÖPINGS LÄN</t>
        </is>
      </c>
      <c r="G228" t="inlineStr">
        <is>
          <t>VÄRNAMO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29382-2024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45483</v>
      </c>
      <c r="E229" s="1" t="n">
        <v>46275</v>
      </c>
      <c r="F229" t="inlineStr">
        <is>
          <t>JÖNKÖPINGS LÄN</t>
        </is>
      </c>
      <c r="G229" t="inlineStr">
        <is>
          <t>VÄRNAMO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44805</v>
      </c>
      <c r="E230" s="1" t="n">
        <v>46275</v>
      </c>
      <c r="F230" t="inlineStr">
        <is>
          <t>JÖNKÖPINGS LÄN</t>
        </is>
      </c>
      <c r="G230" t="inlineStr">
        <is>
          <t>VÄRNAMO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45271</v>
      </c>
      <c r="E231" s="1" t="n">
        <v>46275</v>
      </c>
      <c r="F231" t="inlineStr">
        <is>
          <t>JÖNKÖPINGS LÄN</t>
        </is>
      </c>
      <c r="G231" t="inlineStr">
        <is>
          <t>VÄRNAMO</t>
        </is>
      </c>
      <c r="H231" t="inlineStr">
        <is>
          <t>Kommuner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46275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46275</v>
      </c>
      <c r="F233" t="inlineStr">
        <is>
          <t>JÖNKÖPINGS LÄN</t>
        </is>
      </c>
      <c r="G233" t="inlineStr">
        <is>
          <t>VÄRNAMO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54254-2021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44470</v>
      </c>
      <c r="E234" s="1" t="n">
        <v>46275</v>
      </c>
      <c r="F234" t="inlineStr">
        <is>
          <t>JÖNKÖPINGS LÄN</t>
        </is>
      </c>
      <c r="G234" t="inlineStr">
        <is>
          <t>VÄRNAMO</t>
        </is>
      </c>
      <c r="H234" t="inlineStr">
        <is>
          <t>Övriga Aktiebolag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48040-2024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45589</v>
      </c>
      <c r="E235" s="1" t="n">
        <v>46275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45142</v>
      </c>
      <c r="E236" s="1" t="n">
        <v>46275</v>
      </c>
      <c r="F236" t="inlineStr">
        <is>
          <t>JÖNKÖPINGS LÄN</t>
        </is>
      </c>
      <c r="G236" t="inlineStr">
        <is>
          <t>VÄRNAMO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46275</v>
      </c>
      <c r="F237" t="inlineStr">
        <is>
          <t>JÖNKÖPINGS LÄN</t>
        </is>
      </c>
      <c r="G237" t="inlineStr">
        <is>
          <t>VÄRNAMO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45029</v>
      </c>
      <c r="E238" s="1" t="n">
        <v>46275</v>
      </c>
      <c r="F238" t="inlineStr">
        <is>
          <t>JÖNKÖPINGS LÄN</t>
        </is>
      </c>
      <c r="G238" t="inlineStr">
        <is>
          <t>VÄRNAMO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46275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46275</v>
      </c>
      <c r="F240" t="inlineStr">
        <is>
          <t>JÖNKÖPINGS LÄN</t>
        </is>
      </c>
      <c r="G240" t="inlineStr">
        <is>
          <t>VÄRNAMO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46275</v>
      </c>
      <c r="F241" t="inlineStr">
        <is>
          <t>JÖNKÖPINGS LÄN</t>
        </is>
      </c>
      <c r="G241" t="inlineStr">
        <is>
          <t>VÄRNAMO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46275</v>
      </c>
      <c r="F242" t="inlineStr">
        <is>
          <t>JÖNKÖPINGS LÄN</t>
        </is>
      </c>
      <c r="G242" t="inlineStr">
        <is>
          <t>VÄRNAMO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45188</v>
      </c>
      <c r="E243" s="1" t="n">
        <v>46275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46275</v>
      </c>
      <c r="F244" t="inlineStr">
        <is>
          <t>JÖNKÖPINGS LÄN</t>
        </is>
      </c>
      <c r="G244" t="inlineStr">
        <is>
          <t>VÄRNAMO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46275</v>
      </c>
      <c r="F245" t="inlineStr">
        <is>
          <t>JÖNKÖPINGS LÄN</t>
        </is>
      </c>
      <c r="G245" t="inlineStr">
        <is>
          <t>VÄRNAMO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45106</v>
      </c>
      <c r="E246" s="1" t="n">
        <v>46275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46275</v>
      </c>
      <c r="F247" t="inlineStr">
        <is>
          <t>JÖNKÖPINGS LÄN</t>
        </is>
      </c>
      <c r="G247" t="inlineStr">
        <is>
          <t>VÄRNAMO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45772</v>
      </c>
      <c r="E248" s="1" t="n">
        <v>46275</v>
      </c>
      <c r="F248" t="inlineStr">
        <is>
          <t>JÖNKÖPINGS LÄN</t>
        </is>
      </c>
      <c r="G248" t="inlineStr">
        <is>
          <t>VÄRNAMO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46275</v>
      </c>
      <c r="F249" t="inlineStr">
        <is>
          <t>JÖNKÖPINGS LÄN</t>
        </is>
      </c>
      <c r="G249" t="inlineStr">
        <is>
          <t>VÄRNAMO</t>
        </is>
      </c>
      <c r="H249" t="inlineStr">
        <is>
          <t>Sveaskog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46275</v>
      </c>
      <c r="F250" t="inlineStr">
        <is>
          <t>JÖNKÖPINGS LÄN</t>
        </is>
      </c>
      <c r="G250" t="inlineStr">
        <is>
          <t>VÄRNAMO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46275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46275</v>
      </c>
      <c r="F252" t="inlineStr">
        <is>
          <t>JÖNKÖPINGS LÄN</t>
        </is>
      </c>
      <c r="G252" t="inlineStr">
        <is>
          <t>VÄRNAMO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45769</v>
      </c>
      <c r="E253" s="1" t="n">
        <v>46275</v>
      </c>
      <c r="F253" t="inlineStr">
        <is>
          <t>JÖNKÖPINGS LÄN</t>
        </is>
      </c>
      <c r="G253" t="inlineStr">
        <is>
          <t>VÄRNAMO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45124</v>
      </c>
      <c r="E254" s="1" t="n">
        <v>46275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45769</v>
      </c>
      <c r="E255" s="1" t="n">
        <v>46275</v>
      </c>
      <c r="F255" t="inlineStr">
        <is>
          <t>JÖNKÖPINGS LÄN</t>
        </is>
      </c>
      <c r="G255" t="inlineStr">
        <is>
          <t>VÄRNAMO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45146</v>
      </c>
      <c r="E256" s="1" t="n">
        <v>46275</v>
      </c>
      <c r="F256" t="inlineStr">
        <is>
          <t>JÖNKÖPINGS LÄN</t>
        </is>
      </c>
      <c r="G256" t="inlineStr">
        <is>
          <t>VÄRNAMO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46275</v>
      </c>
      <c r="F257" t="inlineStr">
        <is>
          <t>JÖNKÖPINGS LÄN</t>
        </is>
      </c>
      <c r="G257" t="inlineStr">
        <is>
          <t>VÄRNAMO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46275</v>
      </c>
      <c r="F258" t="inlineStr">
        <is>
          <t>JÖNKÖPINGS LÄN</t>
        </is>
      </c>
      <c r="G258" t="inlineStr">
        <is>
          <t>VÄRNAMO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46275</v>
      </c>
      <c r="F259" t="inlineStr">
        <is>
          <t>JÖNKÖPINGS LÄN</t>
        </is>
      </c>
      <c r="G259" t="inlineStr">
        <is>
          <t>VÄRNAMO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46275</v>
      </c>
      <c r="F260" t="inlineStr">
        <is>
          <t>JÖNKÖPINGS LÄN</t>
        </is>
      </c>
      <c r="G260" t="inlineStr">
        <is>
          <t>VÄRNAMO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46275</v>
      </c>
      <c r="F261" t="inlineStr">
        <is>
          <t>JÖNKÖPINGS LÄN</t>
        </is>
      </c>
      <c r="G261" t="inlineStr">
        <is>
          <t>VÄRNAMO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46275</v>
      </c>
      <c r="F262" t="inlineStr">
        <is>
          <t>JÖNKÖPINGS LÄN</t>
        </is>
      </c>
      <c r="G262" t="inlineStr">
        <is>
          <t>VÄRNAMO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45264</v>
      </c>
      <c r="E263" s="1" t="n">
        <v>46275</v>
      </c>
      <c r="F263" t="inlineStr">
        <is>
          <t>JÖNKÖPINGS LÄN</t>
        </is>
      </c>
      <c r="G263" t="inlineStr">
        <is>
          <t>VÄRNAMO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44678</v>
      </c>
      <c r="E264" s="1" t="n">
        <v>46275</v>
      </c>
      <c r="F264" t="inlineStr">
        <is>
          <t>JÖNKÖPINGS LÄN</t>
        </is>
      </c>
      <c r="G264" t="inlineStr">
        <is>
          <t>VÄRNAMO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62573-2023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45270</v>
      </c>
      <c r="E265" s="1" t="n">
        <v>46275</v>
      </c>
      <c r="F265" t="inlineStr">
        <is>
          <t>JÖNKÖPINGS LÄN</t>
        </is>
      </c>
      <c r="G265" t="inlineStr">
        <is>
          <t>VÄRNAMO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45258</v>
      </c>
      <c r="E266" s="1" t="n">
        <v>46275</v>
      </c>
      <c r="F266" t="inlineStr">
        <is>
          <t>JÖNKÖPINGS LÄN</t>
        </is>
      </c>
      <c r="G266" t="inlineStr">
        <is>
          <t>VÄRNAMO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46275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46275</v>
      </c>
      <c r="F268" t="inlineStr">
        <is>
          <t>JÖNKÖPINGS LÄN</t>
        </is>
      </c>
      <c r="G268" t="inlineStr">
        <is>
          <t>VÄRNAMO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46275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44931</v>
      </c>
      <c r="E270" s="1" t="n">
        <v>46275</v>
      </c>
      <c r="F270" t="inlineStr">
        <is>
          <t>JÖNKÖPINGS LÄN</t>
        </is>
      </c>
      <c r="G270" t="inlineStr">
        <is>
          <t>VÄRNAMO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46275</v>
      </c>
      <c r="F271" t="inlineStr">
        <is>
          <t>JÖNKÖPINGS LÄN</t>
        </is>
      </c>
      <c r="G271" t="inlineStr">
        <is>
          <t>VÄRNAMO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39656-2023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45167</v>
      </c>
      <c r="E272" s="1" t="n">
        <v>46275</v>
      </c>
      <c r="F272" t="inlineStr">
        <is>
          <t>JÖNKÖPINGS LÄN</t>
        </is>
      </c>
      <c r="G272" t="inlineStr">
        <is>
          <t>VÄRNAMO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46275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74310-2021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44559</v>
      </c>
      <c r="E274" s="1" t="n">
        <v>46275</v>
      </c>
      <c r="F274" t="inlineStr">
        <is>
          <t>JÖNKÖPINGS LÄN</t>
        </is>
      </c>
      <c r="G274" t="inlineStr">
        <is>
          <t>VÄRNAMO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45428</v>
      </c>
      <c r="E275" s="1" t="n">
        <v>46275</v>
      </c>
      <c r="F275" t="inlineStr">
        <is>
          <t>JÖNKÖPINGS LÄN</t>
        </is>
      </c>
      <c r="G275" t="inlineStr">
        <is>
          <t>VÄRNAMO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46275</v>
      </c>
      <c r="F276" t="inlineStr">
        <is>
          <t>JÖNKÖPINGS LÄN</t>
        </is>
      </c>
      <c r="G276" t="inlineStr">
        <is>
          <t>VÄRNAMO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44929</v>
      </c>
      <c r="E277" s="1" t="n">
        <v>46275</v>
      </c>
      <c r="F277" t="inlineStr">
        <is>
          <t>JÖNKÖPINGS LÄN</t>
        </is>
      </c>
      <c r="G277" t="inlineStr">
        <is>
          <t>VÄRNAMO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44942</v>
      </c>
      <c r="E278" s="1" t="n">
        <v>46275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45688</v>
      </c>
      <c r="E279" s="1" t="n">
        <v>46275</v>
      </c>
      <c r="F279" t="inlineStr">
        <is>
          <t>JÖNKÖPINGS LÄN</t>
        </is>
      </c>
      <c r="G279" t="inlineStr">
        <is>
          <t>VÄRNAMO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45445</v>
      </c>
      <c r="E280" s="1" t="n">
        <v>46275</v>
      </c>
      <c r="F280" t="inlineStr">
        <is>
          <t>JÖNKÖPINGS LÄN</t>
        </is>
      </c>
      <c r="G280" t="inlineStr">
        <is>
          <t>VÄRNAMO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68171-2021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44526</v>
      </c>
      <c r="E281" s="1" t="n">
        <v>46275</v>
      </c>
      <c r="F281" t="inlineStr">
        <is>
          <t>JÖNKÖPINGS LÄN</t>
        </is>
      </c>
      <c r="G281" t="inlineStr">
        <is>
          <t>VÄRNAMO</t>
        </is>
      </c>
      <c r="H281" t="inlineStr">
        <is>
          <t>Kommuner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45044</v>
      </c>
      <c r="E282" s="1" t="n">
        <v>46275</v>
      </c>
      <c r="F282" t="inlineStr">
        <is>
          <t>JÖNKÖPINGS LÄN</t>
        </is>
      </c>
      <c r="G282" t="inlineStr">
        <is>
          <t>VÄRNAMO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45239</v>
      </c>
      <c r="E283" s="1" t="n">
        <v>46275</v>
      </c>
      <c r="F283" t="inlineStr">
        <is>
          <t>JÖNKÖPINGS LÄN</t>
        </is>
      </c>
      <c r="G283" t="inlineStr">
        <is>
          <t>VÄRNAMO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38662-2024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46275</v>
      </c>
      <c r="F284" t="inlineStr">
        <is>
          <t>JÖNKÖPINGS LÄN</t>
        </is>
      </c>
      <c r="G284" t="inlineStr">
        <is>
          <t>VÄRNAMO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46275</v>
      </c>
      <c r="F285" t="inlineStr">
        <is>
          <t>JÖNKÖPINGS LÄN</t>
        </is>
      </c>
      <c r="G285" t="inlineStr">
        <is>
          <t>VÄRNAMO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26271-2024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46275</v>
      </c>
      <c r="F286" t="inlineStr">
        <is>
          <t>JÖNKÖPINGS LÄN</t>
        </is>
      </c>
      <c r="G286" t="inlineStr">
        <is>
          <t>VÄRNAMO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46275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14439-2023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45012</v>
      </c>
      <c r="E288" s="1" t="n">
        <v>46275</v>
      </c>
      <c r="F288" t="inlineStr">
        <is>
          <t>JÖNKÖPINGS LÄN</t>
        </is>
      </c>
      <c r="G288" t="inlineStr">
        <is>
          <t>VÄRNAMO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46275</v>
      </c>
      <c r="F289" t="inlineStr">
        <is>
          <t>JÖNKÖPINGS LÄN</t>
        </is>
      </c>
      <c r="G289" t="inlineStr">
        <is>
          <t>VÄRNAMO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46275</v>
      </c>
      <c r="F290" t="inlineStr">
        <is>
          <t>JÖNKÖPINGS LÄN</t>
        </is>
      </c>
      <c r="G290" t="inlineStr">
        <is>
          <t>VÄRNAMO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46275</v>
      </c>
      <c r="F291" t="inlineStr">
        <is>
          <t>JÖNKÖPINGS LÄN</t>
        </is>
      </c>
      <c r="G291" t="inlineStr">
        <is>
          <t>VÄRNAMO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45713</v>
      </c>
      <c r="E292" s="1" t="n">
        <v>46275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39218-2023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46275</v>
      </c>
      <c r="F293" t="inlineStr">
        <is>
          <t>JÖNKÖPINGS LÄN</t>
        </is>
      </c>
      <c r="G293" t="inlineStr">
        <is>
          <t>VÄRNAMO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46275</v>
      </c>
      <c r="F294" t="inlineStr">
        <is>
          <t>JÖNKÖPINGS LÄN</t>
        </is>
      </c>
      <c r="G294" t="inlineStr">
        <is>
          <t>VÄRNAMO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44642</v>
      </c>
      <c r="E295" s="1" t="n">
        <v>46275</v>
      </c>
      <c r="F295" t="inlineStr">
        <is>
          <t>JÖNKÖPINGS LÄN</t>
        </is>
      </c>
      <c r="G295" t="inlineStr">
        <is>
          <t>VÄRNAMO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12857-2022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44642</v>
      </c>
      <c r="E296" s="1" t="n">
        <v>46275</v>
      </c>
      <c r="F296" t="inlineStr">
        <is>
          <t>JÖNKÖPINGS LÄN</t>
        </is>
      </c>
      <c r="G296" t="inlineStr">
        <is>
          <t>VÄRNAMO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45674</v>
      </c>
      <c r="E297" s="1" t="n">
        <v>46275</v>
      </c>
      <c r="F297" t="inlineStr">
        <is>
          <t>JÖNKÖPINGS LÄN</t>
        </is>
      </c>
      <c r="G297" t="inlineStr">
        <is>
          <t>VÄRNAMO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46275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46275</v>
      </c>
      <c r="F299" t="inlineStr">
        <is>
          <t>JÖNKÖPINGS LÄN</t>
        </is>
      </c>
      <c r="G299" t="inlineStr">
        <is>
          <t>VÄRNAMO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46275</v>
      </c>
      <c r="F300" t="inlineStr">
        <is>
          <t>JÖNKÖPINGS LÄN</t>
        </is>
      </c>
      <c r="G300" t="inlineStr">
        <is>
          <t>VÄRNAMO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45723</v>
      </c>
      <c r="E301" s="1" t="n">
        <v>46275</v>
      </c>
      <c r="F301" t="inlineStr">
        <is>
          <t>JÖNKÖPINGS LÄN</t>
        </is>
      </c>
      <c r="G301" t="inlineStr">
        <is>
          <t>VÄRNAMO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46275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45721</v>
      </c>
      <c r="E303" s="1" t="n">
        <v>46275</v>
      </c>
      <c r="F303" t="inlineStr">
        <is>
          <t>JÖNKÖPINGS LÄN</t>
        </is>
      </c>
      <c r="G303" t="inlineStr">
        <is>
          <t>VÄRNAMO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46275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46275</v>
      </c>
      <c r="F305" t="inlineStr">
        <is>
          <t>JÖNKÖPINGS LÄN</t>
        </is>
      </c>
      <c r="G305" t="inlineStr">
        <is>
          <t>VÄRNAMO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52104-2024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45608</v>
      </c>
      <c r="E306" s="1" t="n">
        <v>46275</v>
      </c>
      <c r="F306" t="inlineStr">
        <is>
          <t>JÖNKÖPINGS LÄN</t>
        </is>
      </c>
      <c r="G306" t="inlineStr">
        <is>
          <t>VÄRNAMO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44566</v>
      </c>
      <c r="E307" s="1" t="n">
        <v>46275</v>
      </c>
      <c r="F307" t="inlineStr">
        <is>
          <t>JÖNKÖPINGS LÄN</t>
        </is>
      </c>
      <c r="G307" t="inlineStr">
        <is>
          <t>VÄRNAMO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46275</v>
      </c>
      <c r="F308" t="inlineStr">
        <is>
          <t>JÖNKÖPINGS LÄN</t>
        </is>
      </c>
      <c r="G308" t="inlineStr">
        <is>
          <t>VÄRNAMO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45328</v>
      </c>
      <c r="E309" s="1" t="n">
        <v>46275</v>
      </c>
      <c r="F309" t="inlineStr">
        <is>
          <t>JÖNKÖPINGS LÄN</t>
        </is>
      </c>
      <c r="G309" t="inlineStr">
        <is>
          <t>VÄRNAMO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45328</v>
      </c>
      <c r="E310" s="1" t="n">
        <v>46275</v>
      </c>
      <c r="F310" t="inlineStr">
        <is>
          <t>JÖNKÖPINGS LÄN</t>
        </is>
      </c>
      <c r="G310" t="inlineStr">
        <is>
          <t>VÄRNAMO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46275</v>
      </c>
      <c r="F311" t="inlineStr">
        <is>
          <t>JÖNKÖPINGS LÄN</t>
        </is>
      </c>
      <c r="G311" t="inlineStr">
        <is>
          <t>VÄRNAMO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46275</v>
      </c>
      <c r="F312" t="inlineStr">
        <is>
          <t>JÖNKÖPINGS LÄN</t>
        </is>
      </c>
      <c r="G312" t="inlineStr">
        <is>
          <t>VÄRNAMO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46275</v>
      </c>
      <c r="F313" t="inlineStr">
        <is>
          <t>JÖNKÖPINGS LÄN</t>
        </is>
      </c>
      <c r="G313" t="inlineStr">
        <is>
          <t>VÄRNAMO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45204</v>
      </c>
      <c r="E314" s="1" t="n">
        <v>46275</v>
      </c>
      <c r="F314" t="inlineStr">
        <is>
          <t>JÖNKÖPINGS LÄN</t>
        </is>
      </c>
      <c r="G314" t="inlineStr">
        <is>
          <t>VÄRNAMO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11210-2024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45371</v>
      </c>
      <c r="E315" s="1" t="n">
        <v>46275</v>
      </c>
      <c r="F315" t="inlineStr">
        <is>
          <t>JÖNKÖPINGS LÄN</t>
        </is>
      </c>
      <c r="G315" t="inlineStr">
        <is>
          <t>VÄRNAMO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45674</v>
      </c>
      <c r="E316" s="1" t="n">
        <v>46275</v>
      </c>
      <c r="F316" t="inlineStr">
        <is>
          <t>JÖNKÖPINGS LÄN</t>
        </is>
      </c>
      <c r="G316" t="inlineStr">
        <is>
          <t>VÄRNAMO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45670</v>
      </c>
      <c r="E317" s="1" t="n">
        <v>46275</v>
      </c>
      <c r="F317" t="inlineStr">
        <is>
          <t>JÖNKÖPINGS LÄN</t>
        </is>
      </c>
      <c r="G317" t="inlineStr">
        <is>
          <t>VÄRNAMO</t>
        </is>
      </c>
      <c r="I317" t="n">
        <v>12.6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44851</v>
      </c>
      <c r="E318" s="1" t="n">
        <v>46275</v>
      </c>
      <c r="F318" t="inlineStr">
        <is>
          <t>JÖNKÖPINGS LÄN</t>
        </is>
      </c>
      <c r="G318" t="inlineStr">
        <is>
          <t>VÄRNAMO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45645</v>
      </c>
      <c r="E319" s="1" t="n">
        <v>46275</v>
      </c>
      <c r="F319" t="inlineStr">
        <is>
          <t>JÖNKÖPINGS LÄN</t>
        </is>
      </c>
      <c r="G319" t="inlineStr">
        <is>
          <t>VÄRNAMO</t>
        </is>
      </c>
      <c r="I319" t="n">
        <v>13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63924-2023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46275</v>
      </c>
      <c r="F320" t="inlineStr">
        <is>
          <t>JÖNKÖPINGS LÄN</t>
        </is>
      </c>
      <c r="G320" t="inlineStr">
        <is>
          <t>VÄRNAMO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46275</v>
      </c>
      <c r="F321" t="inlineStr">
        <is>
          <t>JÖNKÖPINGS LÄN</t>
        </is>
      </c>
      <c r="G321" t="inlineStr">
        <is>
          <t>VÄRNAMO</t>
        </is>
      </c>
      <c r="H321" t="inlineStr">
        <is>
          <t>Sveaskog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46275</v>
      </c>
      <c r="F322" t="inlineStr">
        <is>
          <t>JÖNKÖPINGS LÄN</t>
        </is>
      </c>
      <c r="G322" t="inlineStr">
        <is>
          <t>VÄRNAMO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46275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46275</v>
      </c>
      <c r="F324" t="inlineStr">
        <is>
          <t>JÖNKÖPINGS LÄN</t>
        </is>
      </c>
      <c r="G324" t="inlineStr">
        <is>
          <t>VÄRNAMO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45439</v>
      </c>
      <c r="E325" s="1" t="n">
        <v>46275</v>
      </c>
      <c r="F325" t="inlineStr">
        <is>
          <t>JÖNKÖPINGS LÄN</t>
        </is>
      </c>
      <c r="G325" t="inlineStr">
        <is>
          <t>VÄRNAMO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46275</v>
      </c>
      <c r="F326" t="inlineStr">
        <is>
          <t>JÖNKÖPINGS LÄN</t>
        </is>
      </c>
      <c r="G326" t="inlineStr">
        <is>
          <t>VÄRNAMO</t>
        </is>
      </c>
      <c r="I326" t="n">
        <v>10.4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45044</v>
      </c>
      <c r="E327" s="1" t="n">
        <v>46275</v>
      </c>
      <c r="F327" t="inlineStr">
        <is>
          <t>JÖNKÖPINGS LÄN</t>
        </is>
      </c>
      <c r="G327" t="inlineStr">
        <is>
          <t>VÄRNAMO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7727-2022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44608</v>
      </c>
      <c r="E328" s="1" t="n">
        <v>46275</v>
      </c>
      <c r="F328" t="inlineStr">
        <is>
          <t>JÖNKÖPINGS LÄN</t>
        </is>
      </c>
      <c r="G328" t="inlineStr">
        <is>
          <t>VÄRNAMO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61725-2024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45649</v>
      </c>
      <c r="E329" s="1" t="n">
        <v>46275</v>
      </c>
      <c r="F329" t="inlineStr">
        <is>
          <t>JÖNKÖPINGS LÄN</t>
        </is>
      </c>
      <c r="G329" t="inlineStr">
        <is>
          <t>VÄRNAMO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46275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10.6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45819</v>
      </c>
      <c r="E331" s="1" t="n">
        <v>46275</v>
      </c>
      <c r="F331" t="inlineStr">
        <is>
          <t>JÖNKÖPINGS LÄN</t>
        </is>
      </c>
      <c r="G331" t="inlineStr">
        <is>
          <t>VÄRNAMO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45820</v>
      </c>
      <c r="E332" s="1" t="n">
        <v>46275</v>
      </c>
      <c r="F332" t="inlineStr">
        <is>
          <t>JÖNKÖPINGS LÄN</t>
        </is>
      </c>
      <c r="G332" t="inlineStr">
        <is>
          <t>VÄRNAMO</t>
        </is>
      </c>
      <c r="H332" t="inlineStr">
        <is>
          <t>Kyrkan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44729</v>
      </c>
      <c r="E333" s="1" t="n">
        <v>46275</v>
      </c>
      <c r="F333" t="inlineStr">
        <is>
          <t>JÖNKÖPINGS LÄN</t>
        </is>
      </c>
      <c r="G333" t="inlineStr">
        <is>
          <t>VÄRNAMO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46275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44686</v>
      </c>
      <c r="E335" s="1" t="n">
        <v>46275</v>
      </c>
      <c r="F335" t="inlineStr">
        <is>
          <t>JÖNKÖPINGS LÄN</t>
        </is>
      </c>
      <c r="G335" t="inlineStr">
        <is>
          <t>VÄRNAMO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46275</v>
      </c>
      <c r="F336" t="inlineStr">
        <is>
          <t>JÖNKÖPINGS LÄN</t>
        </is>
      </c>
      <c r="G336" t="inlineStr">
        <is>
          <t>VÄRNAMO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45825</v>
      </c>
      <c r="E337" s="1" t="n">
        <v>46275</v>
      </c>
      <c r="F337" t="inlineStr">
        <is>
          <t>JÖNKÖPINGS LÄN</t>
        </is>
      </c>
      <c r="G337" t="inlineStr">
        <is>
          <t>VÄRNAMO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45825</v>
      </c>
      <c r="E338" s="1" t="n">
        <v>46275</v>
      </c>
      <c r="F338" t="inlineStr">
        <is>
          <t>JÖNKÖPINGS LÄN</t>
        </is>
      </c>
      <c r="G338" t="inlineStr">
        <is>
          <t>VÄRNAMO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46275</v>
      </c>
      <c r="F339" t="inlineStr">
        <is>
          <t>JÖNKÖPINGS LÄN</t>
        </is>
      </c>
      <c r="G339" t="inlineStr">
        <is>
          <t>VÄRNAMO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45807</v>
      </c>
      <c r="E340" s="1" t="n">
        <v>46275</v>
      </c>
      <c r="F340" t="inlineStr">
        <is>
          <t>JÖNKÖPINGS LÄN</t>
        </is>
      </c>
      <c r="G340" t="inlineStr">
        <is>
          <t>VÄRNAMO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46275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46275</v>
      </c>
      <c r="F342" t="inlineStr">
        <is>
          <t>JÖNKÖPINGS LÄN</t>
        </is>
      </c>
      <c r="G342" t="inlineStr">
        <is>
          <t>VÄRNAMO</t>
        </is>
      </c>
      <c r="H342" t="inlineStr">
        <is>
          <t>Sveaskog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46275</v>
      </c>
      <c r="F343" t="inlineStr">
        <is>
          <t>JÖNKÖPINGS LÄN</t>
        </is>
      </c>
      <c r="G343" t="inlineStr">
        <is>
          <t>VÄRNAMO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60037-2022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44909</v>
      </c>
      <c r="E344" s="1" t="n">
        <v>46275</v>
      </c>
      <c r="F344" t="inlineStr">
        <is>
          <t>JÖNKÖPINGS LÄN</t>
        </is>
      </c>
      <c r="G344" t="inlineStr">
        <is>
          <t>VÄRNAMO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45659</v>
      </c>
      <c r="E345" s="1" t="n">
        <v>46275</v>
      </c>
      <c r="F345" t="inlineStr">
        <is>
          <t>JÖNKÖPINGS LÄN</t>
        </is>
      </c>
      <c r="G345" t="inlineStr">
        <is>
          <t>VÄRNAMO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45805</v>
      </c>
      <c r="E346" s="1" t="n">
        <v>46275</v>
      </c>
      <c r="F346" t="inlineStr">
        <is>
          <t>JÖNKÖPINGS LÄN</t>
        </is>
      </c>
      <c r="G346" t="inlineStr">
        <is>
          <t>VÄRNAMO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46275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46275</v>
      </c>
      <c r="F348" t="inlineStr">
        <is>
          <t>JÖNKÖPINGS LÄN</t>
        </is>
      </c>
      <c r="G348" t="inlineStr">
        <is>
          <t>VÄRNAMO</t>
        </is>
      </c>
      <c r="I348" t="n">
        <v>10.1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46275</v>
      </c>
      <c r="F349" t="inlineStr">
        <is>
          <t>JÖNKÖPINGS LÄN</t>
        </is>
      </c>
      <c r="G349" t="inlineStr">
        <is>
          <t>VÄRNAMO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45853</v>
      </c>
      <c r="E350" s="1" t="n">
        <v>46275</v>
      </c>
      <c r="F350" t="inlineStr">
        <is>
          <t>JÖNKÖPINGS LÄN</t>
        </is>
      </c>
      <c r="G350" t="inlineStr">
        <is>
          <t>VÄRNAMO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35266-2025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45853</v>
      </c>
      <c r="E351" s="1" t="n">
        <v>46275</v>
      </c>
      <c r="F351" t="inlineStr">
        <is>
          <t>JÖNKÖPINGS LÄN</t>
        </is>
      </c>
      <c r="G351" t="inlineStr">
        <is>
          <t>VÄRNAMO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45576</v>
      </c>
      <c r="E352" s="1" t="n">
        <v>46275</v>
      </c>
      <c r="F352" t="inlineStr">
        <is>
          <t>JÖNKÖPINGS LÄN</t>
        </is>
      </c>
      <c r="G352" t="inlineStr">
        <is>
          <t>VÄRNAMO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32374-2024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45512</v>
      </c>
      <c r="E353" s="1" t="n">
        <v>46275</v>
      </c>
      <c r="F353" t="inlineStr">
        <is>
          <t>JÖNKÖPINGS LÄN</t>
        </is>
      </c>
      <c r="G353" t="inlineStr">
        <is>
          <t>VÄRNAMO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45583</v>
      </c>
      <c r="E354" s="1" t="n">
        <v>46275</v>
      </c>
      <c r="F354" t="inlineStr">
        <is>
          <t>JÖNKÖPINGS LÄN</t>
        </is>
      </c>
      <c r="G354" t="inlineStr">
        <is>
          <t>VÄRNAMO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45328</v>
      </c>
      <c r="E355" s="1" t="n">
        <v>46275</v>
      </c>
      <c r="F355" t="inlineStr">
        <is>
          <t>JÖNKÖPINGS LÄN</t>
        </is>
      </c>
      <c r="G355" t="inlineStr">
        <is>
          <t>VÄRNAMO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45265</v>
      </c>
      <c r="E356" s="1" t="n">
        <v>46275</v>
      </c>
      <c r="F356" t="inlineStr">
        <is>
          <t>JÖNKÖPINGS LÄN</t>
        </is>
      </c>
      <c r="G356" t="inlineStr">
        <is>
          <t>VÄRNAMO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33376-2025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46275</v>
      </c>
      <c r="F357" t="inlineStr">
        <is>
          <t>JÖNKÖPINGS LÄN</t>
        </is>
      </c>
      <c r="G357" t="inlineStr">
        <is>
          <t>VÄRNAMO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45889</v>
      </c>
      <c r="E358" s="1" t="n">
        <v>46275</v>
      </c>
      <c r="F358" t="inlineStr">
        <is>
          <t>JÖNKÖPINGS LÄN</t>
        </is>
      </c>
      <c r="G358" t="inlineStr">
        <is>
          <t>VÄRNAMO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46275</v>
      </c>
      <c r="F359" t="inlineStr">
        <is>
          <t>JÖNKÖPINGS LÄN</t>
        </is>
      </c>
      <c r="G359" t="inlineStr">
        <is>
          <t>VÄRNAMO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46275</v>
      </c>
      <c r="F360" t="inlineStr">
        <is>
          <t>JÖNKÖPINGS LÄN</t>
        </is>
      </c>
      <c r="G360" t="inlineStr">
        <is>
          <t>VÄRNAMO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63027-2023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45272</v>
      </c>
      <c r="E361" s="1" t="n">
        <v>46275</v>
      </c>
      <c r="F361" t="inlineStr">
        <is>
          <t>JÖNKÖPINGS LÄN</t>
        </is>
      </c>
      <c r="G361" t="inlineStr">
        <is>
          <t>VÄRNAMO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46275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46275</v>
      </c>
      <c r="F363" t="inlineStr">
        <is>
          <t>JÖNKÖPINGS LÄN</t>
        </is>
      </c>
      <c r="G363" t="inlineStr">
        <is>
          <t>VÄRNAMO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45320</v>
      </c>
      <c r="E364" s="1" t="n">
        <v>46275</v>
      </c>
      <c r="F364" t="inlineStr">
        <is>
          <t>JÖNKÖPINGS LÄN</t>
        </is>
      </c>
      <c r="G364" t="inlineStr">
        <is>
          <t>VÄRNAMO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46275</v>
      </c>
      <c r="F365" t="inlineStr">
        <is>
          <t>JÖNKÖPINGS LÄN</t>
        </is>
      </c>
      <c r="G365" t="inlineStr">
        <is>
          <t>VÄRNAMO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44744-2025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46275</v>
      </c>
      <c r="F366" t="inlineStr">
        <is>
          <t>JÖNKÖPINGS LÄN</t>
        </is>
      </c>
      <c r="G366" t="inlineStr">
        <is>
          <t>VÄRNAMO</t>
        </is>
      </c>
      <c r="H366" t="inlineStr">
        <is>
          <t>Övriga Aktiebolag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46275</v>
      </c>
      <c r="F367" t="inlineStr">
        <is>
          <t>JÖNKÖPINGS LÄN</t>
        </is>
      </c>
      <c r="G367" t="inlineStr">
        <is>
          <t>VÄRNAMO</t>
        </is>
      </c>
      <c r="H367" t="inlineStr">
        <is>
          <t>Övriga Aktiebolag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46275</v>
      </c>
      <c r="F368" t="inlineStr">
        <is>
          <t>JÖNKÖPINGS LÄN</t>
        </is>
      </c>
      <c r="G368" t="inlineStr">
        <is>
          <t>VÄRNAMO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51351-2024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45604</v>
      </c>
      <c r="E369" s="1" t="n">
        <v>46275</v>
      </c>
      <c r="F369" t="inlineStr">
        <is>
          <t>JÖNKÖPINGS LÄN</t>
        </is>
      </c>
      <c r="G369" t="inlineStr">
        <is>
          <t>VÄRNAMO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45160-2025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45919</v>
      </c>
      <c r="E370" s="1" t="n">
        <v>46275</v>
      </c>
      <c r="F370" t="inlineStr">
        <is>
          <t>JÖNKÖPINGS LÄN</t>
        </is>
      </c>
      <c r="G370" t="inlineStr">
        <is>
          <t>VÄRNAMO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46275</v>
      </c>
      <c r="F371" t="inlineStr">
        <is>
          <t>JÖNKÖPINGS LÄN</t>
        </is>
      </c>
      <c r="G371" t="inlineStr">
        <is>
          <t>VÄRNAMO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46049-2025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46275</v>
      </c>
      <c r="F372" t="inlineStr">
        <is>
          <t>JÖNKÖPINGS LÄN</t>
        </is>
      </c>
      <c r="G372" t="inlineStr">
        <is>
          <t>VÄRNAMO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45853</v>
      </c>
      <c r="E373" s="1" t="n">
        <v>46275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46275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45748</v>
      </c>
      <c r="E375" s="1" t="n">
        <v>46275</v>
      </c>
      <c r="F375" t="inlineStr">
        <is>
          <t>JÖNKÖPINGS LÄN</t>
        </is>
      </c>
      <c r="G375" t="inlineStr">
        <is>
          <t>VÄRNAMO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48697-2022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44859</v>
      </c>
      <c r="E376" s="1" t="n">
        <v>46275</v>
      </c>
      <c r="F376" t="inlineStr">
        <is>
          <t>JÖNKÖPINGS LÄN</t>
        </is>
      </c>
      <c r="G376" t="inlineStr">
        <is>
          <t>VÄRNAMO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25481-2025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45802</v>
      </c>
      <c r="E377" s="1" t="n">
        <v>46275</v>
      </c>
      <c r="F377" t="inlineStr">
        <is>
          <t>JÖNKÖPINGS LÄN</t>
        </is>
      </c>
      <c r="G377" t="inlineStr">
        <is>
          <t>VÄRNAMO</t>
        </is>
      </c>
      <c r="H377" t="inlineStr">
        <is>
          <t>Övriga Aktiebolag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36706-2025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45873</v>
      </c>
      <c r="E378" s="1" t="n">
        <v>46275</v>
      </c>
      <c r="F378" t="inlineStr">
        <is>
          <t>JÖNKÖPINGS LÄN</t>
        </is>
      </c>
      <c r="G378" t="inlineStr">
        <is>
          <t>VÄRNAMO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63656-2023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45275</v>
      </c>
      <c r="E379" s="1" t="n">
        <v>46275</v>
      </c>
      <c r="F379" t="inlineStr">
        <is>
          <t>JÖNKÖPINGS LÄN</t>
        </is>
      </c>
      <c r="G379" t="inlineStr">
        <is>
          <t>VÄRNAMO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36662-2025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45873</v>
      </c>
      <c r="E380" s="1" t="n">
        <v>46275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45763</v>
      </c>
      <c r="E381" s="1" t="n">
        <v>46275</v>
      </c>
      <c r="F381" t="inlineStr">
        <is>
          <t>JÖNKÖPINGS LÄN</t>
        </is>
      </c>
      <c r="G381" t="inlineStr">
        <is>
          <t>VÄRNAMO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46275</v>
      </c>
      <c r="F382" t="inlineStr">
        <is>
          <t>JÖNKÖPINGS LÄN</t>
        </is>
      </c>
      <c r="G382" t="inlineStr">
        <is>
          <t>VÄRNAMO</t>
        </is>
      </c>
      <c r="I382" t="n">
        <v>14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64002-2023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45278</v>
      </c>
      <c r="E383" s="1" t="n">
        <v>46275</v>
      </c>
      <c r="F383" t="inlineStr">
        <is>
          <t>JÖNKÖPINGS LÄN</t>
        </is>
      </c>
      <c r="G383" t="inlineStr">
        <is>
          <t>VÄRNAMO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45279</v>
      </c>
      <c r="E384" s="1" t="n">
        <v>46275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39965-2022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44820</v>
      </c>
      <c r="E385" s="1" t="n">
        <v>46275</v>
      </c>
      <c r="F385" t="inlineStr">
        <is>
          <t>JÖNKÖPINGS LÄN</t>
        </is>
      </c>
      <c r="G385" t="inlineStr">
        <is>
          <t>VÄRNAMO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31730-2024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45509</v>
      </c>
      <c r="E386" s="1" t="n">
        <v>46275</v>
      </c>
      <c r="F386" t="inlineStr">
        <is>
          <t>JÖNKÖPINGS LÄN</t>
        </is>
      </c>
      <c r="G386" t="inlineStr">
        <is>
          <t>VÄRNAMO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45566</v>
      </c>
      <c r="E387" s="1" t="n">
        <v>46275</v>
      </c>
      <c r="F387" t="inlineStr">
        <is>
          <t>JÖNKÖPINGS LÄN</t>
        </is>
      </c>
      <c r="G387" t="inlineStr">
        <is>
          <t>VÄRNAMO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46275</v>
      </c>
      <c r="F388" t="inlineStr">
        <is>
          <t>JÖNKÖPINGS LÄN</t>
        </is>
      </c>
      <c r="G388" t="inlineStr">
        <is>
          <t>VÄRNAMO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52780-2024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46275</v>
      </c>
      <c r="F389" t="inlineStr">
        <is>
          <t>JÖNKÖPINGS LÄN</t>
        </is>
      </c>
      <c r="G389" t="inlineStr">
        <is>
          <t>VÄRNAMO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45701</v>
      </c>
      <c r="E390" s="1" t="n">
        <v>46275</v>
      </c>
      <c r="F390" t="inlineStr">
        <is>
          <t>JÖNKÖPINGS LÄN</t>
        </is>
      </c>
      <c r="G390" t="inlineStr">
        <is>
          <t>VÄRNAMO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1246-2024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45302</v>
      </c>
      <c r="E391" s="1" t="n">
        <v>46275</v>
      </c>
      <c r="F391" t="inlineStr">
        <is>
          <t>JÖNKÖPINGS LÄN</t>
        </is>
      </c>
      <c r="G391" t="inlineStr">
        <is>
          <t>VÄRNAMO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53473-2025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45959</v>
      </c>
      <c r="E392" s="1" t="n">
        <v>46275</v>
      </c>
      <c r="F392" t="inlineStr">
        <is>
          <t>JÖNKÖPINGS LÄN</t>
        </is>
      </c>
      <c r="G392" t="inlineStr">
        <is>
          <t>VÄRNAMO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46275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53533-2023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45223</v>
      </c>
      <c r="E394" s="1" t="n">
        <v>46275</v>
      </c>
      <c r="F394" t="inlineStr">
        <is>
          <t>JÖNKÖPINGS LÄN</t>
        </is>
      </c>
      <c r="G394" t="inlineStr">
        <is>
          <t>VÄRNAMO</t>
        </is>
      </c>
      <c r="H394" t="inlineStr">
        <is>
          <t>Kyrkan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46275</v>
      </c>
      <c r="F395" t="inlineStr">
        <is>
          <t>JÖNKÖPINGS LÄN</t>
        </is>
      </c>
      <c r="G395" t="inlineStr">
        <is>
          <t>VÄRNAMO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45308</v>
      </c>
      <c r="E396" s="1" t="n">
        <v>46275</v>
      </c>
      <c r="F396" t="inlineStr">
        <is>
          <t>JÖNKÖPINGS LÄN</t>
        </is>
      </c>
      <c r="G396" t="inlineStr">
        <is>
          <t>VÄRNAMO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44993</v>
      </c>
      <c r="E397" s="1" t="n">
        <v>46275</v>
      </c>
      <c r="F397" t="inlineStr">
        <is>
          <t>JÖNKÖPINGS LÄN</t>
        </is>
      </c>
      <c r="G397" t="inlineStr">
        <is>
          <t>VÄRNAMO</t>
        </is>
      </c>
      <c r="H397" t="inlineStr">
        <is>
          <t>Kommuner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46275</v>
      </c>
      <c r="F398" t="inlineStr">
        <is>
          <t>JÖNKÖPINGS LÄN</t>
        </is>
      </c>
      <c r="G398" t="inlineStr">
        <is>
          <t>VÄRNAMO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45957</v>
      </c>
      <c r="E399" s="1" t="n">
        <v>46275</v>
      </c>
      <c r="F399" t="inlineStr">
        <is>
          <t>JÖNKÖPINGS LÄN</t>
        </is>
      </c>
      <c r="G399" t="inlineStr">
        <is>
          <t>VÄRNAMO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53009-2025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45957</v>
      </c>
      <c r="E400" s="1" t="n">
        <v>46275</v>
      </c>
      <c r="F400" t="inlineStr">
        <is>
          <t>JÖNKÖPINGS LÄN</t>
        </is>
      </c>
      <c r="G400" t="inlineStr">
        <is>
          <t>VÄRNAMO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45957</v>
      </c>
      <c r="E401" s="1" t="n">
        <v>46275</v>
      </c>
      <c r="F401" t="inlineStr">
        <is>
          <t>JÖNKÖPINGS LÄN</t>
        </is>
      </c>
      <c r="G401" t="inlineStr">
        <is>
          <t>VÄRNAMO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45590</v>
      </c>
      <c r="E402" s="1" t="n">
        <v>46275</v>
      </c>
      <c r="F402" t="inlineStr">
        <is>
          <t>JÖNKÖPINGS LÄN</t>
        </is>
      </c>
      <c r="G402" t="inlineStr">
        <is>
          <t>VÄRNAMO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45394</v>
      </c>
      <c r="E403" s="1" t="n">
        <v>46275</v>
      </c>
      <c r="F403" t="inlineStr">
        <is>
          <t>JÖNKÖPINGS LÄN</t>
        </is>
      </c>
      <c r="G403" t="inlineStr">
        <is>
          <t>VÄRNAMO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54502-2025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45965</v>
      </c>
      <c r="E404" s="1" t="n">
        <v>46275</v>
      </c>
      <c r="F404" t="inlineStr">
        <is>
          <t>JÖNKÖPINGS LÄN</t>
        </is>
      </c>
      <c r="G404" t="inlineStr">
        <is>
          <t>VÄRNAMO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54703-2025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46275</v>
      </c>
      <c r="F405" t="inlineStr">
        <is>
          <t>JÖNKÖPINGS LÄN</t>
        </is>
      </c>
      <c r="G405" t="inlineStr">
        <is>
          <t>VÄRNAMO</t>
        </is>
      </c>
      <c r="I405" t="n">
        <v>10.8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46275</v>
      </c>
      <c r="F406" t="inlineStr">
        <is>
          <t>JÖNKÖPINGS LÄN</t>
        </is>
      </c>
      <c r="G406" t="inlineStr">
        <is>
          <t>VÄRNAMO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44652</v>
      </c>
      <c r="E407" s="1" t="n">
        <v>46275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54892-2025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46275</v>
      </c>
      <c r="F408" t="inlineStr">
        <is>
          <t>JÖNKÖPINGS LÄN</t>
        </is>
      </c>
      <c r="G408" t="inlineStr">
        <is>
          <t>VÄRNAMO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44840</v>
      </c>
      <c r="E409" s="1" t="n">
        <v>46275</v>
      </c>
      <c r="F409" t="inlineStr">
        <is>
          <t>JÖNKÖPINGS LÄN</t>
        </is>
      </c>
      <c r="G409" t="inlineStr">
        <is>
          <t>VÄRNAMO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45971</v>
      </c>
      <c r="E410" s="1" t="n">
        <v>46275</v>
      </c>
      <c r="F410" t="inlineStr">
        <is>
          <t>JÖNKÖPINGS LÄN</t>
        </is>
      </c>
      <c r="G410" t="inlineStr">
        <is>
          <t>VÄRNAMO</t>
        </is>
      </c>
      <c r="H410" t="inlineStr">
        <is>
          <t>Kommuner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46275</v>
      </c>
      <c r="F411" t="inlineStr">
        <is>
          <t>JÖNKÖPINGS LÄN</t>
        </is>
      </c>
      <c r="G411" t="inlineStr">
        <is>
          <t>VÄRNAMO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46275</v>
      </c>
      <c r="F412" t="inlineStr">
        <is>
          <t>JÖNKÖPINGS LÄN</t>
        </is>
      </c>
      <c r="G412" t="inlineStr">
        <is>
          <t>VÄRNAMO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55447-2025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46275</v>
      </c>
      <c r="F413" t="inlineStr">
        <is>
          <t>JÖNKÖPINGS LÄN</t>
        </is>
      </c>
      <c r="G413" t="inlineStr">
        <is>
          <t>VÄRNAMO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21874-2024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45443</v>
      </c>
      <c r="E414" s="1" t="n">
        <v>46275</v>
      </c>
      <c r="F414" t="inlineStr">
        <is>
          <t>JÖNKÖPINGS LÄN</t>
        </is>
      </c>
      <c r="G414" t="inlineStr">
        <is>
          <t>VÄRNAMO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9992-2023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46275</v>
      </c>
      <c r="F415" t="inlineStr">
        <is>
          <t>JÖNKÖPINGS LÄN</t>
        </is>
      </c>
      <c r="G415" t="inlineStr">
        <is>
          <t>VÄRNAMO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46275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46275</v>
      </c>
      <c r="F417" t="inlineStr">
        <is>
          <t>JÖNKÖPINGS LÄN</t>
        </is>
      </c>
      <c r="G417" t="inlineStr">
        <is>
          <t>VÄRNAMO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46275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45972</v>
      </c>
      <c r="E419" s="1" t="n">
        <v>46275</v>
      </c>
      <c r="F419" t="inlineStr">
        <is>
          <t>JÖNKÖPINGS LÄN</t>
        </is>
      </c>
      <c r="G419" t="inlineStr">
        <is>
          <t>VÄRNAMO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51754-2024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45607</v>
      </c>
      <c r="E420" s="1" t="n">
        <v>46275</v>
      </c>
      <c r="F420" t="inlineStr">
        <is>
          <t>JÖNKÖPINGS LÄN</t>
        </is>
      </c>
      <c r="G420" t="inlineStr">
        <is>
          <t>VÄRNAMO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46867-2023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45200</v>
      </c>
      <c r="E421" s="1" t="n">
        <v>46275</v>
      </c>
      <c r="F421" t="inlineStr">
        <is>
          <t>JÖNKÖPINGS LÄN</t>
        </is>
      </c>
      <c r="G421" t="inlineStr">
        <is>
          <t>VÄRNAMO</t>
        </is>
      </c>
      <c r="H421" t="inlineStr">
        <is>
          <t>Övriga Aktiebolag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56409-2025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45975</v>
      </c>
      <c r="E422" s="1" t="n">
        <v>46275</v>
      </c>
      <c r="F422" t="inlineStr">
        <is>
          <t>JÖNKÖPINGS LÄN</t>
        </is>
      </c>
      <c r="G422" t="inlineStr">
        <is>
          <t>VÄRNAMO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46275</v>
      </c>
      <c r="F423" t="inlineStr">
        <is>
          <t>JÖNKÖPINGS LÄN</t>
        </is>
      </c>
      <c r="G423" t="inlineStr">
        <is>
          <t>VÄRNAMO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56580-2025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46275</v>
      </c>
      <c r="F424" t="inlineStr">
        <is>
          <t>JÖNKÖPINGS LÄN</t>
        </is>
      </c>
      <c r="G424" t="inlineStr">
        <is>
          <t>VÄRNAMO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45187</v>
      </c>
      <c r="E425" s="1" t="n">
        <v>46275</v>
      </c>
      <c r="F425" t="inlineStr">
        <is>
          <t>JÖNKÖPINGS LÄN</t>
        </is>
      </c>
      <c r="G425" t="inlineStr">
        <is>
          <t>VÄRNAMO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46275</v>
      </c>
      <c r="F426" t="inlineStr">
        <is>
          <t>JÖNKÖPINGS LÄN</t>
        </is>
      </c>
      <c r="G426" t="inlineStr">
        <is>
          <t>VÄRNAMO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46275</v>
      </c>
      <c r="F427" t="inlineStr">
        <is>
          <t>JÖNKÖPINGS LÄN</t>
        </is>
      </c>
      <c r="G427" t="inlineStr">
        <is>
          <t>VÄRNAMO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45981</v>
      </c>
      <c r="E428" s="1" t="n">
        <v>46275</v>
      </c>
      <c r="F428" t="inlineStr">
        <is>
          <t>JÖNKÖPINGS LÄN</t>
        </is>
      </c>
      <c r="G428" t="inlineStr">
        <is>
          <t>VÄRNAMO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17464-2023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45036</v>
      </c>
      <c r="E429" s="1" t="n">
        <v>46275</v>
      </c>
      <c r="F429" t="inlineStr">
        <is>
          <t>JÖNKÖPINGS LÄN</t>
        </is>
      </c>
      <c r="G429" t="inlineStr">
        <is>
          <t>VÄRNAMO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46275</v>
      </c>
      <c r="F430" t="inlineStr">
        <is>
          <t>JÖNKÖPINGS LÄN</t>
        </is>
      </c>
      <c r="G430" t="inlineStr">
        <is>
          <t>VÄRNAMO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58785-2025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46275</v>
      </c>
      <c r="F431" t="inlineStr">
        <is>
          <t>JÖNKÖPINGS LÄN</t>
        </is>
      </c>
      <c r="G431" t="inlineStr">
        <is>
          <t>VÄRNAMO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61503-2021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46275</v>
      </c>
      <c r="F432" t="inlineStr">
        <is>
          <t>JÖNKÖPINGS LÄN</t>
        </is>
      </c>
      <c r="G432" t="inlineStr">
        <is>
          <t>VÄRNAMO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62276-2023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45267</v>
      </c>
      <c r="E433" s="1" t="n">
        <v>46275</v>
      </c>
      <c r="F433" t="inlineStr">
        <is>
          <t>JÖNKÖPINGS LÄN</t>
        </is>
      </c>
      <c r="G433" t="inlineStr">
        <is>
          <t>VÄRNAMO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45818-2022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44846</v>
      </c>
      <c r="E434" s="1" t="n">
        <v>46275</v>
      </c>
      <c r="F434" t="inlineStr">
        <is>
          <t>JÖNKÖPINGS LÄN</t>
        </is>
      </c>
      <c r="G434" t="inlineStr">
        <is>
          <t>VÄRNAMO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46275</v>
      </c>
      <c r="F435" t="inlineStr">
        <is>
          <t>JÖNKÖPINGS LÄN</t>
        </is>
      </c>
      <c r="G435" t="inlineStr">
        <is>
          <t>VÄRNAMO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45987</v>
      </c>
      <c r="E436" s="1" t="n">
        <v>46275</v>
      </c>
      <c r="F436" t="inlineStr">
        <is>
          <t>JÖNKÖPINGS LÄN</t>
        </is>
      </c>
      <c r="G436" t="inlineStr">
        <is>
          <t>VÄRNAMO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44616</v>
      </c>
      <c r="E437" s="1" t="n">
        <v>46275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45987</v>
      </c>
      <c r="E438" s="1" t="n">
        <v>46275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57119-2023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46275</v>
      </c>
      <c r="F439" t="inlineStr">
        <is>
          <t>JÖNKÖPINGS LÄN</t>
        </is>
      </c>
      <c r="G439" t="inlineStr">
        <is>
          <t>VÄRNAMO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46275</v>
      </c>
      <c r="F440" t="inlineStr">
        <is>
          <t>JÖNKÖPINGS LÄN</t>
        </is>
      </c>
      <c r="G440" t="inlineStr">
        <is>
          <t>VÄRNAMO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45221</v>
      </c>
      <c r="E441" s="1" t="n">
        <v>46275</v>
      </c>
      <c r="F441" t="inlineStr">
        <is>
          <t>JÖNKÖPINGS LÄN</t>
        </is>
      </c>
      <c r="G441" t="inlineStr">
        <is>
          <t>VÄRNAMO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46275</v>
      </c>
      <c r="F442" t="inlineStr">
        <is>
          <t>JÖNKÖPINGS LÄN</t>
        </is>
      </c>
      <c r="G442" t="inlineStr">
        <is>
          <t>VÄRNAMO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44971</v>
      </c>
      <c r="E443" s="1" t="n">
        <v>46275</v>
      </c>
      <c r="F443" t="inlineStr">
        <is>
          <t>JÖNKÖPINGS LÄN</t>
        </is>
      </c>
      <c r="G443" t="inlineStr">
        <is>
          <t>VÄRNAMO</t>
        </is>
      </c>
      <c r="H443" t="inlineStr">
        <is>
          <t>Kommuner</t>
        </is>
      </c>
      <c r="I443" t="n">
        <v>12.9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46275</v>
      </c>
      <c r="F444" t="inlineStr">
        <is>
          <t>JÖNKÖPINGS LÄN</t>
        </is>
      </c>
      <c r="G444" t="inlineStr">
        <is>
          <t>VÄRNAMO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46275</v>
      </c>
      <c r="F445" t="inlineStr">
        <is>
          <t>JÖNKÖPINGS LÄN</t>
        </is>
      </c>
      <c r="G445" t="inlineStr">
        <is>
          <t>VÄRNAMO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58766-2022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46275</v>
      </c>
      <c r="F446" t="inlineStr">
        <is>
          <t>JÖNKÖPINGS LÄN</t>
        </is>
      </c>
      <c r="G446" t="inlineStr">
        <is>
          <t>VÄRNAMO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12892-2022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44642</v>
      </c>
      <c r="E447" s="1" t="n">
        <v>46275</v>
      </c>
      <c r="F447" t="inlineStr">
        <is>
          <t>JÖNKÖPINGS LÄN</t>
        </is>
      </c>
      <c r="G447" t="inlineStr">
        <is>
          <t>VÄRNAMO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44577</v>
      </c>
      <c r="E448" s="1" t="n">
        <v>46275</v>
      </c>
      <c r="F448" t="inlineStr">
        <is>
          <t>JÖNKÖPINGS LÄN</t>
        </is>
      </c>
      <c r="G448" t="inlineStr">
        <is>
          <t>VÄRNAMO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45106</v>
      </c>
      <c r="E449" s="1" t="n">
        <v>46275</v>
      </c>
      <c r="F449" t="inlineStr">
        <is>
          <t>JÖNKÖPINGS LÄN</t>
        </is>
      </c>
      <c r="G449" t="inlineStr">
        <is>
          <t>VÄRNAMO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63443-2023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45274</v>
      </c>
      <c r="E450" s="1" t="n">
        <v>46275</v>
      </c>
      <c r="F450" t="inlineStr">
        <is>
          <t>JÖNKÖPINGS LÄN</t>
        </is>
      </c>
      <c r="G450" t="inlineStr">
        <is>
          <t>VÄRNAMO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46275</v>
      </c>
      <c r="F451" t="inlineStr">
        <is>
          <t>JÖNKÖPINGS LÄN</t>
        </is>
      </c>
      <c r="G451" t="inlineStr">
        <is>
          <t>VÄRNAMO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46275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46275</v>
      </c>
      <c r="F453" t="inlineStr">
        <is>
          <t>JÖNKÖPINGS LÄN</t>
        </is>
      </c>
      <c r="G453" t="inlineStr">
        <is>
          <t>VÄRNAMO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46275</v>
      </c>
      <c r="F454" t="inlineStr">
        <is>
          <t>JÖNKÖPINGS LÄN</t>
        </is>
      </c>
      <c r="G454" t="inlineStr">
        <is>
          <t>VÄRNAMO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30617-2023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45112</v>
      </c>
      <c r="E455" s="1" t="n">
        <v>46275</v>
      </c>
      <c r="F455" t="inlineStr">
        <is>
          <t>JÖNKÖPINGS LÄN</t>
        </is>
      </c>
      <c r="G455" t="inlineStr">
        <is>
          <t>VÄRNAMO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46001</v>
      </c>
      <c r="E456" s="1" t="n">
        <v>46275</v>
      </c>
      <c r="F456" t="inlineStr">
        <is>
          <t>JÖNKÖPINGS LÄN</t>
        </is>
      </c>
      <c r="G456" t="inlineStr">
        <is>
          <t>VÄRNAMO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46001</v>
      </c>
      <c r="E457" s="1" t="n">
        <v>46275</v>
      </c>
      <c r="F457" t="inlineStr">
        <is>
          <t>JÖNKÖPINGS LÄN</t>
        </is>
      </c>
      <c r="G457" t="inlineStr">
        <is>
          <t>VÄRNAMO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46275</v>
      </c>
      <c r="F458" t="inlineStr">
        <is>
          <t>JÖNKÖPINGS LÄN</t>
        </is>
      </c>
      <c r="G458" t="inlineStr">
        <is>
          <t>VÄRNAMO</t>
        </is>
      </c>
      <c r="I458" t="n">
        <v>10.3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46275</v>
      </c>
      <c r="F459" t="inlineStr">
        <is>
          <t>JÖNKÖPINGS LÄN</t>
        </is>
      </c>
      <c r="G459" t="inlineStr">
        <is>
          <t>VÄRNAMO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46275</v>
      </c>
      <c r="F460" t="inlineStr">
        <is>
          <t>JÖNKÖPINGS LÄN</t>
        </is>
      </c>
      <c r="G460" t="inlineStr">
        <is>
          <t>VÄRNAMO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45369</v>
      </c>
      <c r="E461" s="1" t="n">
        <v>46275</v>
      </c>
      <c r="F461" t="inlineStr">
        <is>
          <t>JÖNKÖPINGS LÄN</t>
        </is>
      </c>
      <c r="G461" t="inlineStr">
        <is>
          <t>VÄRNAMO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13190-2024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45386</v>
      </c>
      <c r="E462" s="1" t="n">
        <v>46275</v>
      </c>
      <c r="F462" t="inlineStr">
        <is>
          <t>JÖNKÖPINGS LÄN</t>
        </is>
      </c>
      <c r="G462" t="inlineStr">
        <is>
          <t>VÄRNAMO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45357</v>
      </c>
      <c r="E463" s="1" t="n">
        <v>46275</v>
      </c>
      <c r="F463" t="inlineStr">
        <is>
          <t>JÖNKÖPINGS LÄN</t>
        </is>
      </c>
      <c r="G463" t="inlineStr">
        <is>
          <t>VÄRNAMO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45563</v>
      </c>
      <c r="E464" s="1" t="n">
        <v>46275</v>
      </c>
      <c r="F464" t="inlineStr">
        <is>
          <t>JÖNKÖPINGS LÄN</t>
        </is>
      </c>
      <c r="G464" t="inlineStr">
        <is>
          <t>VÄRNAMO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46007</v>
      </c>
      <c r="E465" s="1" t="n">
        <v>46275</v>
      </c>
      <c r="F465" t="inlineStr">
        <is>
          <t>JÖNKÖPINGS LÄN</t>
        </is>
      </c>
      <c r="G465" t="inlineStr">
        <is>
          <t>VÄRNAMO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15248-2024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45400</v>
      </c>
      <c r="E466" s="1" t="n">
        <v>46275</v>
      </c>
      <c r="F466" t="inlineStr">
        <is>
          <t>JÖNKÖPINGS LÄN</t>
        </is>
      </c>
      <c r="G466" t="inlineStr">
        <is>
          <t>VÄRNAMO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45308</v>
      </c>
      <c r="E467" s="1" t="n">
        <v>46275</v>
      </c>
      <c r="F467" t="inlineStr">
        <is>
          <t>JÖNKÖPINGS LÄN</t>
        </is>
      </c>
      <c r="G467" t="inlineStr">
        <is>
          <t>VÄRNAMO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45734</v>
      </c>
      <c r="E468" s="1" t="n">
        <v>46275</v>
      </c>
      <c r="F468" t="inlineStr">
        <is>
          <t>JÖNKÖPINGS LÄN</t>
        </is>
      </c>
      <c r="G468" t="inlineStr">
        <is>
          <t>VÄRNAMO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498-2026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46029</v>
      </c>
      <c r="E469" s="1" t="n">
        <v>46275</v>
      </c>
      <c r="F469" t="inlineStr">
        <is>
          <t>JÖNKÖPINGS LÄN</t>
        </is>
      </c>
      <c r="G469" t="inlineStr">
        <is>
          <t>VÄRNAMO</t>
        </is>
      </c>
      <c r="H469" t="inlineStr">
        <is>
          <t>Sveaskog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46275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46275</v>
      </c>
      <c r="F471" t="inlineStr">
        <is>
          <t>JÖNKÖPINGS LÄN</t>
        </is>
      </c>
      <c r="G471" t="inlineStr">
        <is>
          <t>VÄRNAMO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46275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46275</v>
      </c>
      <c r="F473" t="inlineStr">
        <is>
          <t>JÖNKÖPINGS LÄN</t>
        </is>
      </c>
      <c r="G473" t="inlineStr">
        <is>
          <t>VÄRNAMO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46275</v>
      </c>
      <c r="F474" t="inlineStr">
        <is>
          <t>JÖNKÖPINGS LÄN</t>
        </is>
      </c>
      <c r="G474" t="inlineStr">
        <is>
          <t>VÄRNAMO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46275</v>
      </c>
      <c r="F475" t="inlineStr">
        <is>
          <t>JÖNKÖPINGS LÄN</t>
        </is>
      </c>
      <c r="G475" t="inlineStr">
        <is>
          <t>VÄRNAMO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46275</v>
      </c>
      <c r="F476" t="inlineStr">
        <is>
          <t>JÖNKÖPINGS LÄN</t>
        </is>
      </c>
      <c r="G476" t="inlineStr">
        <is>
          <t>VÄRNAMO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46275</v>
      </c>
      <c r="F477" t="inlineStr">
        <is>
          <t>JÖNKÖPINGS LÄN</t>
        </is>
      </c>
      <c r="G477" t="inlineStr">
        <is>
          <t>VÄRNAMO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46275</v>
      </c>
      <c r="F478" t="inlineStr">
        <is>
          <t>JÖNKÖPINGS LÄN</t>
        </is>
      </c>
      <c r="G478" t="inlineStr">
        <is>
          <t>VÄRNAMO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46038</v>
      </c>
      <c r="E479" s="1" t="n">
        <v>46275</v>
      </c>
      <c r="F479" t="inlineStr">
        <is>
          <t>JÖNKÖPINGS LÄN</t>
        </is>
      </c>
      <c r="G479" t="inlineStr">
        <is>
          <t>VÄRNAMO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46275</v>
      </c>
      <c r="F480" t="inlineStr">
        <is>
          <t>JÖNKÖPINGS LÄN</t>
        </is>
      </c>
      <c r="G480" t="inlineStr">
        <is>
          <t>VÄRNAMO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46042</v>
      </c>
      <c r="E481" s="1" t="n">
        <v>46275</v>
      </c>
      <c r="F481" t="inlineStr">
        <is>
          <t>JÖNKÖPINGS LÄN</t>
        </is>
      </c>
      <c r="G481" t="inlineStr">
        <is>
          <t>VÄRNAMO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46275</v>
      </c>
      <c r="F482" t="inlineStr">
        <is>
          <t>JÖNKÖPINGS LÄN</t>
        </is>
      </c>
      <c r="G482" t="inlineStr">
        <is>
          <t>VÄRNAMO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46044</v>
      </c>
      <c r="E483" s="1" t="n">
        <v>46275</v>
      </c>
      <c r="F483" t="inlineStr">
        <is>
          <t>JÖNKÖPINGS LÄN</t>
        </is>
      </c>
      <c r="G483" t="inlineStr">
        <is>
          <t>VÄRNAMO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46275</v>
      </c>
      <c r="F484" t="inlineStr">
        <is>
          <t>JÖNKÖPINGS LÄN</t>
        </is>
      </c>
      <c r="G484" t="inlineStr">
        <is>
          <t>VÄRNAMO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46045</v>
      </c>
      <c r="E485" s="1" t="n">
        <v>46275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46275</v>
      </c>
      <c r="F486" t="inlineStr">
        <is>
          <t>JÖNKÖPINGS LÄN</t>
        </is>
      </c>
      <c r="G486" t="inlineStr">
        <is>
          <t>VÄRNAMO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46275</v>
      </c>
      <c r="F487" t="inlineStr">
        <is>
          <t>JÖNKÖPINGS LÄN</t>
        </is>
      </c>
      <c r="G487" t="inlineStr">
        <is>
          <t>VÄRNAMO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5350-2026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46050</v>
      </c>
      <c r="E488" s="1" t="n">
        <v>46275</v>
      </c>
      <c r="F488" t="inlineStr">
        <is>
          <t>JÖNKÖPINGS LÄN</t>
        </is>
      </c>
      <c r="G488" t="inlineStr">
        <is>
          <t>VÄRNAMO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46275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46275</v>
      </c>
      <c r="F490" t="inlineStr">
        <is>
          <t>JÖNKÖPINGS LÄN</t>
        </is>
      </c>
      <c r="G490" t="inlineStr">
        <is>
          <t>VÄRNAMO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46275</v>
      </c>
      <c r="F491" t="inlineStr">
        <is>
          <t>JÖNKÖPINGS LÄN</t>
        </is>
      </c>
      <c r="G491" t="inlineStr">
        <is>
          <t>VÄRNAMO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46275</v>
      </c>
      <c r="F492" t="inlineStr">
        <is>
          <t>JÖNKÖPINGS LÄN</t>
        </is>
      </c>
      <c r="G492" t="inlineStr">
        <is>
          <t>VÄRNAMO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46275</v>
      </c>
      <c r="F493" t="inlineStr">
        <is>
          <t>JÖNKÖPINGS LÄN</t>
        </is>
      </c>
      <c r="G493" t="inlineStr">
        <is>
          <t>VÄRNAMO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46275</v>
      </c>
      <c r="F494" t="inlineStr">
        <is>
          <t>JÖNKÖPINGS LÄN</t>
        </is>
      </c>
      <c r="G494" t="inlineStr">
        <is>
          <t>VÄRNAMO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46275</v>
      </c>
      <c r="F495" t="inlineStr">
        <is>
          <t>JÖNKÖPINGS LÄN</t>
        </is>
      </c>
      <c r="G495" t="inlineStr">
        <is>
          <t>VÄRNAMO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8772-2026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46275</v>
      </c>
      <c r="F496" t="inlineStr">
        <is>
          <t>JÖNKÖPINGS LÄN</t>
        </is>
      </c>
      <c r="G496" t="inlineStr">
        <is>
          <t>VÄRNAMO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46275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46275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46275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46275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46275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46073</v>
      </c>
      <c r="E502" s="1" t="n">
        <v>46275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46275</v>
      </c>
      <c r="F503" t="inlineStr">
        <is>
          <t>JÖNKÖPINGS LÄN</t>
        </is>
      </c>
      <c r="G503" t="inlineStr">
        <is>
          <t>VÄRNAMO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46078</v>
      </c>
      <c r="E504" s="1" t="n">
        <v>46275</v>
      </c>
      <c r="F504" t="inlineStr">
        <is>
          <t>JÖNKÖPINGS LÄN</t>
        </is>
      </c>
      <c r="G504" t="inlineStr">
        <is>
          <t>VÄRNAMO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46275</v>
      </c>
      <c r="F505" t="inlineStr">
        <is>
          <t>JÖNKÖPINGS LÄN</t>
        </is>
      </c>
      <c r="G505" t="inlineStr">
        <is>
          <t>VÄRNAMO</t>
        </is>
      </c>
      <c r="H505" t="inlineStr">
        <is>
          <t>Kommuner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46080</v>
      </c>
      <c r="E506" s="1" t="n">
        <v>46275</v>
      </c>
      <c r="F506" t="inlineStr">
        <is>
          <t>JÖNKÖPINGS LÄN</t>
        </is>
      </c>
      <c r="G506" t="inlineStr">
        <is>
          <t>VÄRNAMO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46080</v>
      </c>
      <c r="E507" s="1" t="n">
        <v>46275</v>
      </c>
      <c r="F507" t="inlineStr">
        <is>
          <t>JÖNKÖPINGS LÄN</t>
        </is>
      </c>
      <c r="G507" t="inlineStr">
        <is>
          <t>VÄRNAMO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46275</v>
      </c>
      <c r="F508" t="inlineStr">
        <is>
          <t>JÖNKÖPINGS LÄN</t>
        </is>
      </c>
      <c r="G508" t="inlineStr">
        <is>
          <t>VÄRNAMO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12095-2026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46086</v>
      </c>
      <c r="E509" s="1" t="n">
        <v>46275</v>
      </c>
      <c r="F509" t="inlineStr">
        <is>
          <t>JÖNKÖPINGS LÄN</t>
        </is>
      </c>
      <c r="G509" t="inlineStr">
        <is>
          <t>VÄRNAMO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13008-2026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46092</v>
      </c>
      <c r="E510" s="1" t="n">
        <v>46275</v>
      </c>
      <c r="F510" t="inlineStr">
        <is>
          <t>JÖNKÖPINGS LÄN</t>
        </is>
      </c>
      <c r="G510" t="inlineStr">
        <is>
          <t>VÄRNAMO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46275</v>
      </c>
      <c r="F511" t="inlineStr">
        <is>
          <t>JÖNKÖPINGS LÄN</t>
        </is>
      </c>
      <c r="G511" t="inlineStr">
        <is>
          <t>VÄRNAMO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14246-2026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46275</v>
      </c>
      <c r="F512" t="inlineStr">
        <is>
          <t>JÖNKÖPINGS LÄN</t>
        </is>
      </c>
      <c r="G512" t="inlineStr">
        <is>
          <t>VÄRNAMO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14162-2026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46275</v>
      </c>
      <c r="F513" t="inlineStr">
        <is>
          <t>JÖNKÖPINGS LÄN</t>
        </is>
      </c>
      <c r="G513" t="inlineStr">
        <is>
          <t>VÄRNAMO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46275</v>
      </c>
      <c r="F514" t="inlineStr">
        <is>
          <t>JÖNKÖPINGS LÄN</t>
        </is>
      </c>
      <c r="G514" t="inlineStr">
        <is>
          <t>VÄRNAMO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46275</v>
      </c>
      <c r="F515" t="inlineStr">
        <is>
          <t>JÖNKÖPINGS LÄN</t>
        </is>
      </c>
      <c r="G515" t="inlineStr">
        <is>
          <t>VÄRNAMO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15101-2026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46101</v>
      </c>
      <c r="E516" s="1" t="n">
        <v>46275</v>
      </c>
      <c r="F516" t="inlineStr">
        <is>
          <t>JÖNKÖPINGS LÄN</t>
        </is>
      </c>
      <c r="G516" t="inlineStr">
        <is>
          <t>VÄRNAMO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46275</v>
      </c>
      <c r="F517" t="inlineStr">
        <is>
          <t>JÖNKÖPINGS LÄN</t>
        </is>
      </c>
      <c r="G517" t="inlineStr">
        <is>
          <t>VÄRNAMO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46275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18509-2026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46127</v>
      </c>
      <c r="E519" s="1" t="n">
        <v>46275</v>
      </c>
      <c r="F519" t="inlineStr">
        <is>
          <t>JÖNKÖPINGS LÄN</t>
        </is>
      </c>
      <c r="G519" t="inlineStr">
        <is>
          <t>VÄRNAMO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45785</v>
      </c>
      <c r="E520" s="1" t="n">
        <v>46275</v>
      </c>
      <c r="F520" t="inlineStr">
        <is>
          <t>JÖNKÖPINGS LÄN</t>
        </is>
      </c>
      <c r="G520" t="inlineStr">
        <is>
          <t>VÄRNAMO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45873</v>
      </c>
      <c r="E521" s="1" t="n">
        <v>46275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45957</v>
      </c>
      <c r="E522" s="1" t="n">
        <v>46275</v>
      </c>
      <c r="F522" t="inlineStr">
        <is>
          <t>JÖNKÖPINGS LÄN</t>
        </is>
      </c>
      <c r="G522" t="inlineStr">
        <is>
          <t>VÄRNAMO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45841</v>
      </c>
      <c r="E523" s="1" t="n">
        <v>46275</v>
      </c>
      <c r="F523" t="inlineStr">
        <is>
          <t>JÖNKÖPINGS LÄN</t>
        </is>
      </c>
      <c r="G523" t="inlineStr">
        <is>
          <t>VÄRNAMO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42475-2025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45905</v>
      </c>
      <c r="E524" s="1" t="n">
        <v>46275</v>
      </c>
      <c r="F524" t="inlineStr">
        <is>
          <t>JÖNKÖPINGS LÄN</t>
        </is>
      </c>
      <c r="G524" t="inlineStr">
        <is>
          <t>VÄRNAMO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45876</v>
      </c>
      <c r="E525" s="1" t="n">
        <v>46275</v>
      </c>
      <c r="F525" t="inlineStr">
        <is>
          <t>JÖNKÖPINGS LÄN</t>
        </is>
      </c>
      <c r="G525" t="inlineStr">
        <is>
          <t>VÄRNAMO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45726</v>
      </c>
      <c r="E526" s="1" t="n">
        <v>46275</v>
      </c>
      <c r="F526" t="inlineStr">
        <is>
          <t>JÖNKÖPINGS LÄN</t>
        </is>
      </c>
      <c r="G526" t="inlineStr">
        <is>
          <t>VÄRNAMO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45758</v>
      </c>
      <c r="E527" s="1" t="n">
        <v>46275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20249-2026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46139</v>
      </c>
      <c r="E528" s="1" t="n">
        <v>46275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31793-2024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45509</v>
      </c>
      <c r="E529" s="1" t="n">
        <v>46275</v>
      </c>
      <c r="F529" t="inlineStr">
        <is>
          <t>JÖNKÖPINGS LÄN</t>
        </is>
      </c>
      <c r="G529" t="inlineStr">
        <is>
          <t>VÄRNAMO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27415-2025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45812</v>
      </c>
      <c r="E530" s="1" t="n">
        <v>46275</v>
      </c>
      <c r="F530" t="inlineStr">
        <is>
          <t>JÖNKÖPINGS LÄN</t>
        </is>
      </c>
      <c r="G530" t="inlineStr">
        <is>
          <t>VÄRNAMO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48615-2025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45936</v>
      </c>
      <c r="E531" s="1" t="n">
        <v>46275</v>
      </c>
      <c r="F531" t="inlineStr">
        <is>
          <t>JÖNKÖPINGS LÄN</t>
        </is>
      </c>
      <c r="G531" t="inlineStr">
        <is>
          <t>VÄRNAMO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54704-2025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45966</v>
      </c>
      <c r="E532" s="1" t="n">
        <v>46275</v>
      </c>
      <c r="F532" t="inlineStr">
        <is>
          <t>JÖNKÖPINGS LÄN</t>
        </is>
      </c>
      <c r="G532" t="inlineStr">
        <is>
          <t>VÄRNAMO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33315-2025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46275</v>
      </c>
      <c r="F533" t="inlineStr">
        <is>
          <t>JÖNKÖPINGS LÄN</t>
        </is>
      </c>
      <c r="G533" t="inlineStr">
        <is>
          <t>VÄRNAMO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46275</v>
      </c>
      <c r="F534" t="inlineStr">
        <is>
          <t>JÖNKÖPINGS LÄN</t>
        </is>
      </c>
      <c r="G534" t="inlineStr">
        <is>
          <t>VÄRNAMO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43162-2024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45567</v>
      </c>
      <c r="E535" s="1" t="n">
        <v>46275</v>
      </c>
      <c r="F535" t="inlineStr">
        <is>
          <t>JÖNKÖPINGS LÄN</t>
        </is>
      </c>
      <c r="G535" t="inlineStr">
        <is>
          <t>VÄRNAMO</t>
        </is>
      </c>
      <c r="H535" t="inlineStr">
        <is>
          <t>Kommuner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45519</v>
      </c>
      <c r="E536" s="1" t="n">
        <v>46275</v>
      </c>
      <c r="F536" t="inlineStr">
        <is>
          <t>JÖNKÖPINGS LÄN</t>
        </is>
      </c>
      <c r="G536" t="inlineStr">
        <is>
          <t>VÄRNAMO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45889</v>
      </c>
      <c r="E537" s="1" t="n">
        <v>46275</v>
      </c>
      <c r="F537" t="inlineStr">
        <is>
          <t>JÖNKÖPINGS LÄN</t>
        </is>
      </c>
      <c r="G537" t="inlineStr">
        <is>
          <t>VÄRNAMO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44721-2025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45917</v>
      </c>
      <c r="E538" s="1" t="n">
        <v>46275</v>
      </c>
      <c r="F538" t="inlineStr">
        <is>
          <t>JÖNKÖPINGS LÄN</t>
        </is>
      </c>
      <c r="G538" t="inlineStr">
        <is>
          <t>VÄRNAMO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45827</v>
      </c>
      <c r="E539" s="1" t="n">
        <v>46275</v>
      </c>
      <c r="F539" t="inlineStr">
        <is>
          <t>JÖNKÖPINGS LÄN</t>
        </is>
      </c>
      <c r="G539" t="inlineStr">
        <is>
          <t>VÄRNAMO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45664</v>
      </c>
      <c r="E540" s="1" t="n">
        <v>46275</v>
      </c>
      <c r="F540" t="inlineStr">
        <is>
          <t>JÖNKÖPINGS LÄN</t>
        </is>
      </c>
      <c r="G540" t="inlineStr">
        <is>
          <t>VÄRNAMO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46098</v>
      </c>
      <c r="E541" s="1" t="n">
        <v>46275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42575-2022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44831</v>
      </c>
      <c r="E542" s="1" t="n">
        <v>46275</v>
      </c>
      <c r="F542" t="inlineStr">
        <is>
          <t>JÖNKÖPINGS LÄN</t>
        </is>
      </c>
      <c r="G542" t="inlineStr">
        <is>
          <t>VÄRNAMO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45718</v>
      </c>
      <c r="E543" s="1" t="n">
        <v>46275</v>
      </c>
      <c r="F543" t="inlineStr">
        <is>
          <t>JÖNKÖPINGS LÄN</t>
        </is>
      </c>
      <c r="G543" t="inlineStr">
        <is>
          <t>VÄRNAMO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46160</v>
      </c>
      <c r="E544" s="1" t="n">
        <v>46275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46162</v>
      </c>
      <c r="E545" s="1" t="n">
        <v>46275</v>
      </c>
      <c r="F545" t="inlineStr">
        <is>
          <t>JÖNKÖPINGS LÄN</t>
        </is>
      </c>
      <c r="G545" t="inlineStr">
        <is>
          <t>VÄRNAMO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46275</v>
      </c>
      <c r="F546" t="inlineStr">
        <is>
          <t>JÖNKÖPINGS LÄN</t>
        </is>
      </c>
      <c r="G546" t="inlineStr">
        <is>
          <t>VÄRNAMO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46275</v>
      </c>
      <c r="F547" t="inlineStr">
        <is>
          <t>JÖNKÖPINGS LÄN</t>
        </is>
      </c>
      <c r="G547" t="inlineStr">
        <is>
          <t>VÄRNAMO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46275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46275</v>
      </c>
      <c r="F549" t="inlineStr">
        <is>
          <t>JÖNKÖPINGS LÄN</t>
        </is>
      </c>
      <c r="G549" t="inlineStr">
        <is>
          <t>VÄRNAMO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24809-2026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46172</v>
      </c>
      <c r="E550" s="1" t="n">
        <v>46275</v>
      </c>
      <c r="F550" t="inlineStr">
        <is>
          <t>JÖNKÖPINGS LÄN</t>
        </is>
      </c>
      <c r="G550" t="inlineStr">
        <is>
          <t>VÄRNAMO</t>
        </is>
      </c>
      <c r="I550" t="n">
        <v>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50550-2025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45945</v>
      </c>
      <c r="E551" s="1" t="n">
        <v>46275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55764-2025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45972</v>
      </c>
      <c r="E552" s="1" t="n">
        <v>46275</v>
      </c>
      <c r="F552" t="inlineStr">
        <is>
          <t>JÖNKÖPINGS LÄN</t>
        </is>
      </c>
      <c r="G552" t="inlineStr">
        <is>
          <t>VÄRNAMO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15105-2026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46101</v>
      </c>
      <c r="E553" s="1" t="n">
        <v>46275</v>
      </c>
      <c r="F553" t="inlineStr">
        <is>
          <t>JÖNKÖPINGS LÄN</t>
        </is>
      </c>
      <c r="G553" t="inlineStr">
        <is>
          <t>VÄRNAMO</t>
        </is>
      </c>
      <c r="I553" t="n">
        <v>58.2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25543-2026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46177</v>
      </c>
      <c r="E554" s="1" t="n">
        <v>46275</v>
      </c>
      <c r="F554" t="inlineStr">
        <is>
          <t>JÖNKÖPINGS LÄN</t>
        </is>
      </c>
      <c r="G554" t="inlineStr">
        <is>
          <t>VÄRNAMO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46183</v>
      </c>
      <c r="E555" s="1" t="n">
        <v>46275</v>
      </c>
      <c r="F555" t="inlineStr">
        <is>
          <t>JÖNKÖPINGS LÄN</t>
        </is>
      </c>
      <c r="G555" t="inlineStr">
        <is>
          <t>VÄRNAMO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46275</v>
      </c>
      <c r="F556" t="inlineStr">
        <is>
          <t>JÖNKÖPINGS LÄN</t>
        </is>
      </c>
      <c r="G556" t="inlineStr">
        <is>
          <t>VÄRNAMO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46275</v>
      </c>
      <c r="F557" t="inlineStr">
        <is>
          <t>JÖNKÖPINGS LÄN</t>
        </is>
      </c>
      <c r="G557" t="inlineStr">
        <is>
          <t>VÄRNAMO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46275</v>
      </c>
      <c r="F558" t="inlineStr">
        <is>
          <t>JÖNKÖPINGS LÄN</t>
        </is>
      </c>
      <c r="G558" t="inlineStr">
        <is>
          <t>VÄRNAMO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46275</v>
      </c>
      <c r="F559" t="inlineStr">
        <is>
          <t>JÖNKÖPINGS LÄN</t>
        </is>
      </c>
      <c r="G559" t="inlineStr">
        <is>
          <t>VÄRNAMO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27153-2026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46188</v>
      </c>
      <c r="E560" s="1" t="n">
        <v>46275</v>
      </c>
      <c r="F560" t="inlineStr">
        <is>
          <t>JÖNKÖPINGS LÄN</t>
        </is>
      </c>
      <c r="G560" t="inlineStr">
        <is>
          <t>VÄRNAMO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46275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46275</v>
      </c>
      <c r="F562" t="inlineStr">
        <is>
          <t>JÖNKÖPINGS LÄN</t>
        </is>
      </c>
      <c r="G562" t="inlineStr">
        <is>
          <t>VÄRNAMO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46275</v>
      </c>
      <c r="F563" t="inlineStr">
        <is>
          <t>JÖNKÖPINGS LÄN</t>
        </is>
      </c>
      <c r="G563" t="inlineStr">
        <is>
          <t>VÄRNAMO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46275</v>
      </c>
      <c r="F564" t="inlineStr">
        <is>
          <t>JÖNKÖPINGS LÄN</t>
        </is>
      </c>
      <c r="G564" t="inlineStr">
        <is>
          <t>VÄRNAMO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46275</v>
      </c>
      <c r="F565" t="inlineStr">
        <is>
          <t>JÖNKÖPINGS LÄN</t>
        </is>
      </c>
      <c r="G565" t="inlineStr">
        <is>
          <t>VÄRNAMO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46275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46190</v>
      </c>
      <c r="E567" s="1" t="n">
        <v>46275</v>
      </c>
      <c r="F567" t="inlineStr">
        <is>
          <t>JÖNKÖPINGS LÄN</t>
        </is>
      </c>
      <c r="G567" t="inlineStr">
        <is>
          <t>VÄRNAMO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27863-2026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46191</v>
      </c>
      <c r="E568" s="1" t="n">
        <v>46275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46191</v>
      </c>
      <c r="E569" s="1" t="n">
        <v>46275</v>
      </c>
      <c r="F569" t="inlineStr">
        <is>
          <t>JÖNKÖPINGS LÄN</t>
        </is>
      </c>
      <c r="G569" t="inlineStr">
        <is>
          <t>VÄRNAMO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27802-2026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46275</v>
      </c>
      <c r="F570" t="inlineStr">
        <is>
          <t>JÖNKÖPINGS LÄN</t>
        </is>
      </c>
      <c r="G570" t="inlineStr">
        <is>
          <t>VÄRNAMO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27941-2026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46191</v>
      </c>
      <c r="E571" s="1" t="n">
        <v>46275</v>
      </c>
      <c r="F571" t="inlineStr">
        <is>
          <t>JÖNKÖPINGS LÄN</t>
        </is>
      </c>
      <c r="G571" t="inlineStr">
        <is>
          <t>VÄRNAMO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46275</v>
      </c>
      <c r="F572" t="inlineStr">
        <is>
          <t>JÖNKÖPINGS LÄN</t>
        </is>
      </c>
      <c r="G572" t="inlineStr">
        <is>
          <t>VÄRNAMO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46275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46275</v>
      </c>
      <c r="F574" t="inlineStr">
        <is>
          <t>JÖNKÖPINGS LÄN</t>
        </is>
      </c>
      <c r="G574" t="inlineStr">
        <is>
          <t>VÄRNAMO</t>
        </is>
      </c>
      <c r="H574" t="inlineStr">
        <is>
          <t>Sveaskog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46275</v>
      </c>
      <c r="F575" t="inlineStr">
        <is>
          <t>JÖNKÖPINGS LÄN</t>
        </is>
      </c>
      <c r="G575" t="inlineStr">
        <is>
          <t>VÄRNAMO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32413-2026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46238</v>
      </c>
      <c r="E576" s="1" t="n">
        <v>46275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46275</v>
      </c>
      <c r="F577" t="inlineStr">
        <is>
          <t>JÖNKÖPINGS LÄN</t>
        </is>
      </c>
      <c r="G577" t="inlineStr">
        <is>
          <t>VÄRNAMO</t>
        </is>
      </c>
      <c r="H577" t="inlineStr">
        <is>
          <t>Sveaskog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46275</v>
      </c>
      <c r="F578" t="inlineStr">
        <is>
          <t>JÖNKÖPINGS LÄN</t>
        </is>
      </c>
      <c r="G578" t="inlineStr">
        <is>
          <t>VÄRNAMO</t>
        </is>
      </c>
      <c r="H578" t="inlineStr">
        <is>
          <t>Sveaskog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46275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46275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46193</v>
      </c>
      <c r="E581" s="1" t="n">
        <v>46275</v>
      </c>
      <c r="F581" t="inlineStr">
        <is>
          <t>JÖNKÖPINGS LÄN</t>
        </is>
      </c>
      <c r="G581" t="inlineStr">
        <is>
          <t>VÄRNAMO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46275</v>
      </c>
      <c r="F582" t="inlineStr">
        <is>
          <t>JÖNKÖPINGS LÄN</t>
        </is>
      </c>
      <c r="G582" t="inlineStr">
        <is>
          <t>VÄRNAMO</t>
        </is>
      </c>
      <c r="H582" t="inlineStr">
        <is>
          <t>Sveaskog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46275</v>
      </c>
      <c r="F583" t="inlineStr">
        <is>
          <t>JÖNKÖPINGS LÄN</t>
        </is>
      </c>
      <c r="G583" t="inlineStr">
        <is>
          <t>VÄRNAMO</t>
        </is>
      </c>
      <c r="H583" t="inlineStr">
        <is>
          <t>Sveaskog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46275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13285-2026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46275</v>
      </c>
      <c r="F585" t="inlineStr">
        <is>
          <t>JÖNKÖPINGS LÄN</t>
        </is>
      </c>
      <c r="G585" t="inlineStr">
        <is>
          <t>VÄRNAMO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46275</v>
      </c>
      <c r="F586" t="inlineStr">
        <is>
          <t>JÖNKÖPINGS LÄN</t>
        </is>
      </c>
      <c r="G586" t="inlineStr">
        <is>
          <t>VÄRNAMO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46275</v>
      </c>
      <c r="F587" t="inlineStr">
        <is>
          <t>JÖNKÖPINGS LÄN</t>
        </is>
      </c>
      <c r="G587" t="inlineStr">
        <is>
          <t>VÄRNAMO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33729-2026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46275</v>
      </c>
      <c r="F588" t="inlineStr">
        <is>
          <t>JÖNKÖPINGS LÄN</t>
        </is>
      </c>
      <c r="G588" t="inlineStr">
        <is>
          <t>VÄRNAMO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46206</v>
      </c>
      <c r="E589" s="1" t="n">
        <v>46275</v>
      </c>
      <c r="F589" t="inlineStr">
        <is>
          <t>JÖNKÖPINGS LÄN</t>
        </is>
      </c>
      <c r="G589" t="inlineStr">
        <is>
          <t>VÄRNAMO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46275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46275</v>
      </c>
      <c r="F591" t="inlineStr">
        <is>
          <t>JÖNKÖPINGS LÄN</t>
        </is>
      </c>
      <c r="G591" t="inlineStr">
        <is>
          <t>VÄRNAMO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30173-2026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46275</v>
      </c>
      <c r="F592" t="inlineStr">
        <is>
          <t>JÖNKÖPINGS LÄN</t>
        </is>
      </c>
      <c r="G592" t="inlineStr">
        <is>
          <t>VÄRNAMO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46051-2025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45924</v>
      </c>
      <c r="E593" s="1" t="n">
        <v>46275</v>
      </c>
      <c r="F593" t="inlineStr">
        <is>
          <t>JÖNKÖPINGS LÄN</t>
        </is>
      </c>
      <c r="G593" t="inlineStr">
        <is>
          <t>VÄRNAMO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46275</v>
      </c>
      <c r="F594" t="inlineStr">
        <is>
          <t>JÖNKÖPINGS LÄN</t>
        </is>
      </c>
      <c r="G594" t="inlineStr">
        <is>
          <t>VÄRNAMO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46275</v>
      </c>
      <c r="F595" t="inlineStr">
        <is>
          <t>JÖNKÖPINGS LÄN</t>
        </is>
      </c>
      <c r="G595" t="inlineStr">
        <is>
          <t>VÄRNAMO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46275</v>
      </c>
      <c r="F596" t="inlineStr">
        <is>
          <t>JÖNKÖPINGS LÄN</t>
        </is>
      </c>
      <c r="G596" t="inlineStr">
        <is>
          <t>VÄRNAMO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46275</v>
      </c>
      <c r="F597" t="inlineStr">
        <is>
          <t>JÖNKÖPINGS LÄN</t>
        </is>
      </c>
      <c r="G597" t="inlineStr">
        <is>
          <t>VÄRNAMO</t>
        </is>
      </c>
      <c r="H597" t="inlineStr">
        <is>
          <t>Kommuner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35739-2026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46275</v>
      </c>
      <c r="F598" t="inlineStr">
        <is>
          <t>JÖNKÖPINGS LÄN</t>
        </is>
      </c>
      <c r="G598" t="inlineStr">
        <is>
          <t>VÄRNAMO</t>
        </is>
      </c>
      <c r="H598" t="inlineStr">
        <is>
          <t>Kommuner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46265</v>
      </c>
      <c r="E599" s="1" t="n">
        <v>46275</v>
      </c>
      <c r="F599" t="inlineStr">
        <is>
          <t>JÖNKÖPINGS LÄN</t>
        </is>
      </c>
      <c r="G599" t="inlineStr">
        <is>
          <t>VÄRNAMO</t>
        </is>
      </c>
      <c r="H599" t="inlineStr">
        <is>
          <t>Kommuner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46275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46275</v>
      </c>
      <c r="F601" t="inlineStr">
        <is>
          <t>JÖNKÖPINGS LÄN</t>
        </is>
      </c>
      <c r="G601" t="inlineStr">
        <is>
          <t>VÄRNAMO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46275</v>
      </c>
      <c r="F602" t="inlineStr">
        <is>
          <t>JÖNKÖPINGS LÄN</t>
        </is>
      </c>
      <c r="G602" t="inlineStr">
        <is>
          <t>VÄRNAMO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46269</v>
      </c>
      <c r="E603" s="1" t="n">
        <v>46275</v>
      </c>
      <c r="F603" t="inlineStr">
        <is>
          <t>JÖNKÖPINGS LÄN</t>
        </is>
      </c>
      <c r="G603" t="inlineStr">
        <is>
          <t>VÄRNAMO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46275</v>
      </c>
      <c r="F604" t="inlineStr">
        <is>
          <t>JÖNKÖPINGS LÄN</t>
        </is>
      </c>
      <c r="G604" t="inlineStr">
        <is>
          <t>VÄRNAMO</t>
        </is>
      </c>
      <c r="I604" t="n">
        <v>11.7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46275</v>
      </c>
      <c r="F605" t="inlineStr">
        <is>
          <t>JÖNKÖPINGS LÄN</t>
        </is>
      </c>
      <c r="G605" t="inlineStr">
        <is>
          <t>VÄRNAMO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31790-2026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46230</v>
      </c>
      <c r="E606" s="1" t="n">
        <v>46275</v>
      </c>
      <c r="F606" t="inlineStr">
        <is>
          <t>JÖNKÖPINGS LÄN</t>
        </is>
      </c>
      <c r="G606" t="inlineStr">
        <is>
          <t>VÄRNAMO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31796-2026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46230</v>
      </c>
      <c r="E607" s="1" t="n">
        <v>46275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31811-2026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46230</v>
      </c>
      <c r="E608" s="1" t="n">
        <v>46275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46275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46275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46275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6462-2021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44449</v>
      </c>
      <c r="E612" s="1" t="n">
        <v>46275</v>
      </c>
      <c r="F612" t="inlineStr">
        <is>
          <t>JÖNKÖPINGS LÄN</t>
        </is>
      </c>
      <c r="G612" t="inlineStr">
        <is>
          <t>VÄRNAMO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1451-2024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45418</v>
      </c>
      <c r="E613" s="1" t="n">
        <v>46275</v>
      </c>
      <c r="F613" t="inlineStr">
        <is>
          <t>JÖNKÖPINGS LÄN</t>
        </is>
      </c>
      <c r="G613" t="inlineStr">
        <is>
          <t>VÄRNAMO</t>
        </is>
      </c>
      <c r="I613" t="n">
        <v>29.6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2455-2023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45117</v>
      </c>
      <c r="E614" s="1" t="n">
        <v>46275</v>
      </c>
      <c r="F614" t="inlineStr">
        <is>
          <t>JÖNKÖPINGS LÄN</t>
        </is>
      </c>
      <c r="G614" t="inlineStr">
        <is>
          <t>VÄRNAMO</t>
        </is>
      </c>
      <c r="H614" t="inlineStr">
        <is>
          <t>Övriga Aktiebolag</t>
        </is>
      </c>
      <c r="I614" t="n">
        <v>49.1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793-2023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44991</v>
      </c>
      <c r="E615" s="1" t="n">
        <v>46275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2484-2023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46275</v>
      </c>
      <c r="F616" t="inlineStr">
        <is>
          <t>JÖNKÖPINGS LÄN</t>
        </is>
      </c>
      <c r="G616" t="inlineStr">
        <is>
          <t>VÄRNAMO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1553-2024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45425</v>
      </c>
      <c r="E617" s="1" t="n">
        <v>46275</v>
      </c>
      <c r="F617" t="inlineStr">
        <is>
          <t>JÖNKÖPINGS LÄN</t>
        </is>
      </c>
      <c r="G617" t="inlineStr">
        <is>
          <t>VÄRNAMO</t>
        </is>
      </c>
      <c r="I617" t="n">
        <v>30.6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9360-2021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44519</v>
      </c>
      <c r="E618" s="1" t="n">
        <v>46275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1855-2024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45440</v>
      </c>
      <c r="E619" s="1" t="n">
        <v>46275</v>
      </c>
      <c r="F619" t="inlineStr">
        <is>
          <t>JÖNKÖPINGS LÄN</t>
        </is>
      </c>
      <c r="G619" t="inlineStr">
        <is>
          <t>VÄRNAMO</t>
        </is>
      </c>
      <c r="I619" t="n">
        <v>24.8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4295-2024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45583</v>
      </c>
      <c r="E620" s="1" t="n">
        <v>46275</v>
      </c>
      <c r="F620" t="inlineStr">
        <is>
          <t>JÖNKÖPINGS LÄN</t>
        </is>
      </c>
      <c r="G620" t="inlineStr">
        <is>
          <t>VÄRNAMO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9347-2021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44519</v>
      </c>
      <c r="E621" s="1" t="n">
        <v>46275</v>
      </c>
      <c r="F621" t="inlineStr">
        <is>
          <t>JÖNKÖPINGS LÄN</t>
        </is>
      </c>
      <c r="G621" t="inlineStr">
        <is>
          <t>VÄRNAMO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2486-2023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45119</v>
      </c>
      <c r="E622" s="1" t="n">
        <v>46275</v>
      </c>
      <c r="F622" t="inlineStr">
        <is>
          <t>JÖNKÖPINGS LÄN</t>
        </is>
      </c>
      <c r="G622" t="inlineStr">
        <is>
          <t>VÄRNAMO</t>
        </is>
      </c>
      <c r="I622" t="n">
        <v>22.8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2317-2023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45105</v>
      </c>
      <c r="E623" s="1" t="n">
        <v>46275</v>
      </c>
      <c r="F623" t="inlineStr">
        <is>
          <t>JÖNKÖPINGS LÄN</t>
        </is>
      </c>
      <c r="G623" t="inlineStr">
        <is>
          <t>VÄRNAMO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2512-2023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45122</v>
      </c>
      <c r="E624" s="1" t="n">
        <v>46275</v>
      </c>
      <c r="F624" t="inlineStr">
        <is>
          <t>JÖNKÖPINGS LÄN</t>
        </is>
      </c>
      <c r="G624" t="inlineStr">
        <is>
          <t>VÄRNAMO</t>
        </is>
      </c>
      <c r="I624" t="n">
        <v>63.2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7728-2021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44479</v>
      </c>
      <c r="E625" s="1" t="n">
        <v>46275</v>
      </c>
      <c r="F625" t="inlineStr">
        <is>
          <t>JÖNKÖPINGS LÄN</t>
        </is>
      </c>
      <c r="G625" t="inlineStr">
        <is>
          <t>VÄRNAMO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46275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46275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46275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46275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2026-09-10T02:12:12Z</dcterms:created>
  <dcterms:modified xmlns:dcterms="http://purl.org/dc/terms/" xmlns:xsi="http://www.w3.org/2001/XMLSchema-instance" xsi:type="dcterms:W3CDTF">2026-09-10T02:12:13Z</dcterms:modified>
</cp:coreProperties>
</file>