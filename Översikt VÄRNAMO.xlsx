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46299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46299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46299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46299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46299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46299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46299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46299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46299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46299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46299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46299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46299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46299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46299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46299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46299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46299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46299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46299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46299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10842-2026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46299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Klockgentiana</t>
        </is>
      </c>
      <c r="W26">
        <f>HYPERLINK("https://klasma.github.io/Logging_0683/artfynd/A 10842-2026 artfynd.xlsx", "A 10842-2026")</f>
        <v/>
      </c>
      <c r="X26">
        <f>HYPERLINK("https://klasma.github.io/Logging_0683/kartor/A 10842-2026 karta.png", "A 10842-2026")</f>
        <v/>
      </c>
      <c r="Y26">
        <f>HYPERLINK("https://klasma.github.io/Logging_0683/kartor_geotiff/A 10842-2026 georefererad karta.tif", "A 10842-2026")</f>
        <v/>
      </c>
      <c r="AA26">
        <f>HYPERLINK("https://klasma.github.io/Logging_0683/klagomål/A 10842-2026 FSC-klagomål.docx", "A 10842-2026")</f>
        <v/>
      </c>
      <c r="AB26">
        <f>HYPERLINK("https://klasma.github.io/Logging_0683/klagomålsmail/A 10842-2026 FSC-klagomål mail.docx", "A 10842-2026")</f>
        <v/>
      </c>
      <c r="AC26">
        <f>HYPERLINK("https://klasma.github.io/Logging_0683/tillsyn/A 10842-2026 tillsynsbegäran.docx", "A 10842-2026")</f>
        <v/>
      </c>
      <c r="AD26">
        <f>HYPERLINK("https://klasma.github.io/Logging_0683/tillsynsmail/A 10842-2026 tillsynsbegäran mail.docx", "A 10842-2026")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46299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46299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46299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46299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46299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36222-2026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46268</v>
      </c>
      <c r="E32" s="1" t="n">
        <v>46299</v>
      </c>
      <c r="F32" t="inlineStr">
        <is>
          <t>JÖNKÖPINGS LÄN</t>
        </is>
      </c>
      <c r="G32" t="inlineStr">
        <is>
          <t>VÄRNAMO</t>
        </is>
      </c>
      <c r="I32" t="n">
        <v>4.2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HYPERLINK("https://klasma.github.io/Logging_0683/artfynd/A 36222-2026 artfynd.xlsx", "A 36222-2026")</f>
        <v/>
      </c>
      <c r="X32">
        <f>HYPERLINK("https://klasma.github.io/Logging_0683/kartor/A 36222-2026 karta.png", "A 36222-2026")</f>
        <v/>
      </c>
      <c r="Y32">
        <f>HYPERLINK("https://klasma.github.io/Logging_0683/kartor_geotiff/A 36222-2026 georefererad karta.tif", "A 36222-2026")</f>
        <v/>
      </c>
      <c r="AA32">
        <f>HYPERLINK("https://klasma.github.io/Logging_0683/klagomål/A 36222-2026 FSC-klagomål.docx", "A 36222-2026")</f>
        <v/>
      </c>
      <c r="AB32">
        <f>HYPERLINK("https://klasma.github.io/Logging_0683/klagomålsmail/A 36222-2026 FSC-klagomål mail.docx", "A 36222-2026")</f>
        <v/>
      </c>
      <c r="AC32">
        <f>HYPERLINK("https://klasma.github.io/Logging_0683/tillsyn/A 36222-2026 tillsynsbegäran.docx", "A 36222-2026")</f>
        <v/>
      </c>
      <c r="AD32">
        <f>HYPERLINK("https://klasma.github.io/Logging_0683/tillsynsmail/A 36222-2026 tillsynsbegäran mail.docx", "A 36222-2026")</f>
        <v/>
      </c>
    </row>
    <row r="33" ht="15" customHeight="1">
      <c r="A33" t="inlineStr">
        <is>
          <t>A 38915-2026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46286</v>
      </c>
      <c r="E33" s="1" t="n">
        <v>46299</v>
      </c>
      <c r="F33" t="inlineStr">
        <is>
          <t>JÖNKÖPINGS LÄN</t>
        </is>
      </c>
      <c r="G33" t="inlineStr">
        <is>
          <t>VÄRNAMO</t>
        </is>
      </c>
      <c r="I33" t="n">
        <v>3.2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Blågrönt mannagräs</t>
        </is>
      </c>
      <c r="W33">
        <f>HYPERLINK("https://klasma.github.io/Logging_0683/artfynd/A 38915-2026 artfynd.xlsx", "A 38915-2026")</f>
        <v/>
      </c>
      <c r="X33">
        <f>HYPERLINK("https://klasma.github.io/Logging_0683/kartor/A 38915-2026 karta.png", "A 38915-2026")</f>
        <v/>
      </c>
      <c r="Y33">
        <f>HYPERLINK("https://klasma.github.io/Logging_0683/kartor_geotiff/A 38915-2026 georefererad karta.tif", "A 38915-2026")</f>
        <v/>
      </c>
      <c r="AA33">
        <f>HYPERLINK("https://klasma.github.io/Logging_0683/klagomål/A 38915-2026 FSC-klagomål.docx", "A 38915-2026")</f>
        <v/>
      </c>
      <c r="AB33">
        <f>HYPERLINK("https://klasma.github.io/Logging_0683/klagomålsmail/A 38915-2026 FSC-klagomål mail.docx", "A 38915-2026")</f>
        <v/>
      </c>
      <c r="AC33">
        <f>HYPERLINK("https://klasma.github.io/Logging_0683/tillsyn/A 38915-2026 tillsynsbegäran.docx", "A 38915-2026")</f>
        <v/>
      </c>
      <c r="AD33">
        <f>HYPERLINK("https://klasma.github.io/Logging_0683/tillsynsmail/A 38915-2026 tillsynsbegäran mail.docx", "A 38915-2026")</f>
        <v/>
      </c>
    </row>
    <row r="34" ht="15" customHeight="1">
      <c r="A34" t="inlineStr">
        <is>
          <t>A 39126-2026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46287</v>
      </c>
      <c r="E34" s="1" t="n">
        <v>46299</v>
      </c>
      <c r="F34" t="inlineStr">
        <is>
          <t>JÖNKÖPINGS LÄN</t>
        </is>
      </c>
      <c r="G34" t="inlineStr">
        <is>
          <t>VÄRNAMO</t>
        </is>
      </c>
      <c r="I34" t="n">
        <v>1.5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Strutbräken</t>
        </is>
      </c>
      <c r="W34">
        <f>HYPERLINK("https://klasma.github.io/Logging_0683/artfynd/A 39126-2026 artfynd.xlsx", "A 39126-2026")</f>
        <v/>
      </c>
      <c r="X34">
        <f>HYPERLINK("https://klasma.github.io/Logging_0683/kartor/A 39126-2026 karta.png", "A 39126-2026")</f>
        <v/>
      </c>
      <c r="Y34">
        <f>HYPERLINK("https://klasma.github.io/Logging_0683/kartor_geotiff/A 39126-2026 georefererad karta.tif", "A 39126-2026")</f>
        <v/>
      </c>
      <c r="AA34">
        <f>HYPERLINK("https://klasma.github.io/Logging_0683/klagomål/A 39126-2026 FSC-klagomål.docx", "A 39126-2026")</f>
        <v/>
      </c>
      <c r="AB34">
        <f>HYPERLINK("https://klasma.github.io/Logging_0683/klagomålsmail/A 39126-2026 FSC-klagomål mail.docx", "A 39126-2026")</f>
        <v/>
      </c>
      <c r="AC34">
        <f>HYPERLINK("https://klasma.github.io/Logging_0683/tillsyn/A 39126-2026 tillsynsbegäran.docx", "A 39126-2026")</f>
        <v/>
      </c>
      <c r="AD34">
        <f>HYPERLINK("https://klasma.github.io/Logging_0683/tillsynsmail/A 39126-2026 tillsynsbegäran mail.docx", "A 39126-2026")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46299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46299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46299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46299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46299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46299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46299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46299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46299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46299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46299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46299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46299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46299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46299</v>
      </c>
      <c r="F49" t="inlineStr">
        <is>
          <t>JÖNKÖPINGS LÄN</t>
        </is>
      </c>
      <c r="G49" t="inlineStr">
        <is>
          <t>VÄRNAMO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46299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46299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46299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46299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46299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46299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46299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46299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46299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46299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46299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46299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46299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46299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46299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46299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46299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46299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46299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46299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46299</v>
      </c>
      <c r="F70" t="inlineStr">
        <is>
          <t>JÖNKÖPINGS LÄN</t>
        </is>
      </c>
      <c r="G70" t="inlineStr">
        <is>
          <t>VÄRNAMO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46299</v>
      </c>
      <c r="F71" t="inlineStr">
        <is>
          <t>JÖNKÖPINGS LÄN</t>
        </is>
      </c>
      <c r="G71" t="inlineStr">
        <is>
          <t>VÄRNAMO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71848-2021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44539</v>
      </c>
      <c r="E72" s="1" t="n">
        <v>46299</v>
      </c>
      <c r="F72" t="inlineStr">
        <is>
          <t>JÖNKÖPINGS LÄN</t>
        </is>
      </c>
      <c r="G72" t="inlineStr">
        <is>
          <t>VÄRNAMO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46299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46299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46476-2022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46299</v>
      </c>
      <c r="F75" t="inlineStr">
        <is>
          <t>JÖNKÖPINGS LÄN</t>
        </is>
      </c>
      <c r="G75" t="inlineStr">
        <is>
          <t>VÄRNAMO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44776</v>
      </c>
      <c r="E76" s="1" t="n">
        <v>46299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46299</v>
      </c>
      <c r="F77" t="inlineStr">
        <is>
          <t>JÖNKÖPINGS LÄN</t>
        </is>
      </c>
      <c r="G77" t="inlineStr">
        <is>
          <t>VÄRNAMO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74127-2021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44557</v>
      </c>
      <c r="E78" s="1" t="n">
        <v>46299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46299</v>
      </c>
      <c r="F79" t="inlineStr">
        <is>
          <t>JÖNKÖPINGS LÄN</t>
        </is>
      </c>
      <c r="G79" t="inlineStr">
        <is>
          <t>VÄRNAMO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46299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44757</v>
      </c>
      <c r="E81" s="1" t="n">
        <v>46299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46299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44502</v>
      </c>
      <c r="E83" s="1" t="n">
        <v>46299</v>
      </c>
      <c r="F83" t="inlineStr">
        <is>
          <t>JÖNKÖPINGS LÄN</t>
        </is>
      </c>
      <c r="G83" t="inlineStr">
        <is>
          <t>VÄRNAMO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46299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56077-2021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46299</v>
      </c>
      <c r="F85" t="inlineStr">
        <is>
          <t>JÖNKÖPINGS LÄN</t>
        </is>
      </c>
      <c r="G85" t="inlineStr">
        <is>
          <t>VÄRNAMO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9355-2022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44616</v>
      </c>
      <c r="E86" s="1" t="n">
        <v>46299</v>
      </c>
      <c r="F86" t="inlineStr">
        <is>
          <t>JÖNKÖPINGS LÄN</t>
        </is>
      </c>
      <c r="G86" t="inlineStr">
        <is>
          <t>VÄRNAMO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46299</v>
      </c>
      <c r="F87" t="inlineStr">
        <is>
          <t>JÖNKÖPINGS LÄN</t>
        </is>
      </c>
      <c r="G87" t="inlineStr">
        <is>
          <t>VÄRNAMO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46299</v>
      </c>
      <c r="F88" t="inlineStr">
        <is>
          <t>JÖNKÖPINGS LÄN</t>
        </is>
      </c>
      <c r="G88" t="inlineStr">
        <is>
          <t>VÄRNAMO</t>
        </is>
      </c>
      <c r="I88" t="n">
        <v>9.199999999999999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46299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46299</v>
      </c>
      <c r="F90" t="inlineStr">
        <is>
          <t>JÖNKÖPINGS LÄN</t>
        </is>
      </c>
      <c r="G90" t="inlineStr">
        <is>
          <t>VÄRNAMO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24702-2022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44727</v>
      </c>
      <c r="E91" s="1" t="n">
        <v>46299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44929</v>
      </c>
      <c r="E92" s="1" t="n">
        <v>46299</v>
      </c>
      <c r="F92" t="inlineStr">
        <is>
          <t>JÖNKÖPINGS LÄN</t>
        </is>
      </c>
      <c r="G92" t="inlineStr">
        <is>
          <t>VÄRNAMO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46299</v>
      </c>
      <c r="F93" t="inlineStr">
        <is>
          <t>JÖNKÖPINGS LÄN</t>
        </is>
      </c>
      <c r="G93" t="inlineStr">
        <is>
          <t>VÄRNAMO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46299</v>
      </c>
      <c r="F94" t="inlineStr">
        <is>
          <t>JÖNKÖPINGS LÄN</t>
        </is>
      </c>
      <c r="G94" t="inlineStr">
        <is>
          <t>VÄRNAMO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45618</v>
      </c>
      <c r="E95" s="1" t="n">
        <v>46299</v>
      </c>
      <c r="F95" t="inlineStr">
        <is>
          <t>JÖNKÖPINGS LÄN</t>
        </is>
      </c>
      <c r="G95" t="inlineStr">
        <is>
          <t>VÄRNAMO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45328</v>
      </c>
      <c r="E96" s="1" t="n">
        <v>46299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46299</v>
      </c>
      <c r="F97" t="inlineStr">
        <is>
          <t>JÖNKÖPINGS LÄN</t>
        </is>
      </c>
      <c r="G97" t="inlineStr">
        <is>
          <t>VÄRNAMO</t>
        </is>
      </c>
      <c r="H97" t="inlineStr">
        <is>
          <t>Sveaskog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46299</v>
      </c>
      <c r="F98" t="inlineStr">
        <is>
          <t>JÖNKÖPINGS LÄN</t>
        </is>
      </c>
      <c r="G98" t="inlineStr">
        <is>
          <t>VÄRNAMO</t>
        </is>
      </c>
      <c r="H98" t="inlineStr">
        <is>
          <t>Kommuner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46299</v>
      </c>
      <c r="F99" t="inlineStr">
        <is>
          <t>JÖNKÖPINGS LÄN</t>
        </is>
      </c>
      <c r="G99" t="inlineStr">
        <is>
          <t>VÄRNAMO</t>
        </is>
      </c>
      <c r="H99" t="inlineStr">
        <is>
          <t>Kommuner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46299</v>
      </c>
      <c r="F100" t="inlineStr">
        <is>
          <t>JÖNKÖPINGS LÄN</t>
        </is>
      </c>
      <c r="G100" t="inlineStr">
        <is>
          <t>VÄRNAMO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46299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46299</v>
      </c>
      <c r="F102" t="inlineStr">
        <is>
          <t>JÖNKÖPINGS LÄN</t>
        </is>
      </c>
      <c r="G102" t="inlineStr">
        <is>
          <t>VÄRNAMO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46299</v>
      </c>
      <c r="F103" t="inlineStr">
        <is>
          <t>JÖNKÖPINGS LÄN</t>
        </is>
      </c>
      <c r="G103" t="inlineStr">
        <is>
          <t>VÄRNAMO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45358</v>
      </c>
      <c r="E104" s="1" t="n">
        <v>46299</v>
      </c>
      <c r="F104" t="inlineStr">
        <is>
          <t>JÖNKÖPINGS LÄN</t>
        </is>
      </c>
      <c r="G104" t="inlineStr">
        <is>
          <t>VÄRNAMO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60105-2024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45642</v>
      </c>
      <c r="E105" s="1" t="n">
        <v>46299</v>
      </c>
      <c r="F105" t="inlineStr">
        <is>
          <t>JÖNKÖPINGS LÄN</t>
        </is>
      </c>
      <c r="G105" t="inlineStr">
        <is>
          <t>VÄRNAMO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44869</v>
      </c>
      <c r="E106" s="1" t="n">
        <v>46299</v>
      </c>
      <c r="F106" t="inlineStr">
        <is>
          <t>JÖNKÖPINGS LÄN</t>
        </is>
      </c>
      <c r="G106" t="inlineStr">
        <is>
          <t>VÄRNAMO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45394</v>
      </c>
      <c r="E107" s="1" t="n">
        <v>46299</v>
      </c>
      <c r="F107" t="inlineStr">
        <is>
          <t>JÖNKÖPINGS LÄN</t>
        </is>
      </c>
      <c r="G107" t="inlineStr">
        <is>
          <t>VÄRNAMO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45243</v>
      </c>
      <c r="E108" s="1" t="n">
        <v>46299</v>
      </c>
      <c r="F108" t="inlineStr">
        <is>
          <t>JÖNKÖPINGS LÄN</t>
        </is>
      </c>
      <c r="G108" t="inlineStr">
        <is>
          <t>VÄRNAMO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46299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45238</v>
      </c>
      <c r="E110" s="1" t="n">
        <v>46299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46299</v>
      </c>
      <c r="F111" t="inlineStr">
        <is>
          <t>JÖNKÖPINGS LÄN</t>
        </is>
      </c>
      <c r="G111" t="inlineStr">
        <is>
          <t>VÄRNAMO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45142</v>
      </c>
      <c r="E112" s="1" t="n">
        <v>46299</v>
      </c>
      <c r="F112" t="inlineStr">
        <is>
          <t>JÖNKÖPINGS LÄN</t>
        </is>
      </c>
      <c r="G112" t="inlineStr">
        <is>
          <t>VÄRNAMO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46299</v>
      </c>
      <c r="F113" t="inlineStr">
        <is>
          <t>JÖNKÖPINGS LÄN</t>
        </is>
      </c>
      <c r="G113" t="inlineStr">
        <is>
          <t>VÄRNAMO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44595</v>
      </c>
      <c r="E114" s="1" t="n">
        <v>46299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45445</v>
      </c>
      <c r="E115" s="1" t="n">
        <v>46299</v>
      </c>
      <c r="F115" t="inlineStr">
        <is>
          <t>JÖNKÖPINGS LÄN</t>
        </is>
      </c>
      <c r="G115" t="inlineStr">
        <is>
          <t>VÄRNAMO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46299</v>
      </c>
      <c r="F116" t="inlineStr">
        <is>
          <t>JÖNKÖPINGS LÄN</t>
        </is>
      </c>
      <c r="G116" t="inlineStr">
        <is>
          <t>VÄRNAMO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46299</v>
      </c>
      <c r="F117" t="inlineStr">
        <is>
          <t>JÖNKÖPINGS LÄN</t>
        </is>
      </c>
      <c r="G117" t="inlineStr">
        <is>
          <t>VÄRNAMO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46299</v>
      </c>
      <c r="F118" t="inlineStr">
        <is>
          <t>JÖNKÖPINGS LÄN</t>
        </is>
      </c>
      <c r="G118" t="inlineStr">
        <is>
          <t>VÄRNAMO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46299</v>
      </c>
      <c r="F119" t="inlineStr">
        <is>
          <t>JÖNKÖPINGS LÄN</t>
        </is>
      </c>
      <c r="G119" t="inlineStr">
        <is>
          <t>VÄRNAMO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46299</v>
      </c>
      <c r="F120" t="inlineStr">
        <is>
          <t>JÖNKÖPINGS LÄN</t>
        </is>
      </c>
      <c r="G120" t="inlineStr">
        <is>
          <t>VÄRNAMO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61565-2025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46299</v>
      </c>
      <c r="F121" t="inlineStr">
        <is>
          <t>JÖNKÖPINGS LÄN</t>
        </is>
      </c>
      <c r="G121" t="inlineStr">
        <is>
          <t>VÄRNAMO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46299</v>
      </c>
      <c r="F122" t="inlineStr">
        <is>
          <t>JÖNKÖPINGS LÄN</t>
        </is>
      </c>
      <c r="G122" t="inlineStr">
        <is>
          <t>VÄRNAMO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46299</v>
      </c>
      <c r="F123" t="inlineStr">
        <is>
          <t>JÖNKÖPINGS LÄN</t>
        </is>
      </c>
      <c r="G123" t="inlineStr">
        <is>
          <t>VÄRNAMO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46299</v>
      </c>
      <c r="F124" t="inlineStr">
        <is>
          <t>JÖNKÖPINGS LÄN</t>
        </is>
      </c>
      <c r="G124" t="inlineStr">
        <is>
          <t>VÄRNAMO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46299</v>
      </c>
      <c r="F125" t="inlineStr">
        <is>
          <t>JÖNKÖPINGS LÄN</t>
        </is>
      </c>
      <c r="G125" t="inlineStr">
        <is>
          <t>VÄRNAMO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46299</v>
      </c>
      <c r="F126" t="inlineStr">
        <is>
          <t>JÖNKÖPINGS LÄN</t>
        </is>
      </c>
      <c r="G126" t="inlineStr">
        <is>
          <t>VÄRNAMO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46299</v>
      </c>
      <c r="F127" t="inlineStr">
        <is>
          <t>JÖNKÖPINGS LÄN</t>
        </is>
      </c>
      <c r="G127" t="inlineStr">
        <is>
          <t>VÄRNAMO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46299</v>
      </c>
      <c r="F128" t="inlineStr">
        <is>
          <t>JÖNKÖPINGS LÄN</t>
        </is>
      </c>
      <c r="G128" t="inlineStr">
        <is>
          <t>VÄRNAMO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46299</v>
      </c>
      <c r="F129" t="inlineStr">
        <is>
          <t>JÖNKÖPINGS LÄN</t>
        </is>
      </c>
      <c r="G129" t="inlineStr">
        <is>
          <t>VÄRNAMO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46299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45723</v>
      </c>
      <c r="E131" s="1" t="n">
        <v>46299</v>
      </c>
      <c r="F131" t="inlineStr">
        <is>
          <t>JÖNKÖPINGS LÄN</t>
        </is>
      </c>
      <c r="G131" t="inlineStr">
        <is>
          <t>VÄRNAMO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46299</v>
      </c>
      <c r="F132" t="inlineStr">
        <is>
          <t>JÖNKÖPINGS LÄN</t>
        </is>
      </c>
      <c r="G132" t="inlineStr">
        <is>
          <t>VÄRNAMO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46299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46299</v>
      </c>
      <c r="F134" t="inlineStr">
        <is>
          <t>JÖNKÖPINGS LÄN</t>
        </is>
      </c>
      <c r="G134" t="inlineStr">
        <is>
          <t>VÄRNAMO</t>
        </is>
      </c>
      <c r="H134" t="inlineStr">
        <is>
          <t>Kyrkan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45308</v>
      </c>
      <c r="E135" s="1" t="n">
        <v>46299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46299</v>
      </c>
      <c r="F136" t="inlineStr">
        <is>
          <t>JÖNKÖPINGS LÄN</t>
        </is>
      </c>
      <c r="G136" t="inlineStr">
        <is>
          <t>VÄRNAMO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46299</v>
      </c>
      <c r="F137" t="inlineStr">
        <is>
          <t>JÖNKÖPINGS LÄN</t>
        </is>
      </c>
      <c r="G137" t="inlineStr">
        <is>
          <t>VÄRNAMO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46299</v>
      </c>
      <c r="F138" t="inlineStr">
        <is>
          <t>JÖNKÖPINGS LÄN</t>
        </is>
      </c>
      <c r="G138" t="inlineStr">
        <is>
          <t>VÄRNAMO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46299</v>
      </c>
      <c r="F139" t="inlineStr">
        <is>
          <t>JÖNKÖPINGS LÄN</t>
        </is>
      </c>
      <c r="G139" t="inlineStr">
        <is>
          <t>VÄRNAMO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45853</v>
      </c>
      <c r="E140" s="1" t="n">
        <v>46299</v>
      </c>
      <c r="F140" t="inlineStr">
        <is>
          <t>JÖNKÖPINGS LÄN</t>
        </is>
      </c>
      <c r="G140" t="inlineStr">
        <is>
          <t>VÄRNAMO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46299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46299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46299</v>
      </c>
      <c r="F143" t="inlineStr">
        <is>
          <t>JÖNKÖPINGS LÄN</t>
        </is>
      </c>
      <c r="G143" t="inlineStr">
        <is>
          <t>VÄRNAMO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45785</v>
      </c>
      <c r="E144" s="1" t="n">
        <v>46299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46299</v>
      </c>
      <c r="F145" t="inlineStr">
        <is>
          <t>JÖNKÖPINGS LÄN</t>
        </is>
      </c>
      <c r="G145" t="inlineStr">
        <is>
          <t>VÄRNAMO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29382-2024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45483</v>
      </c>
      <c r="E146" s="1" t="n">
        <v>46299</v>
      </c>
      <c r="F146" t="inlineStr">
        <is>
          <t>JÖNKÖPINGS LÄN</t>
        </is>
      </c>
      <c r="G146" t="inlineStr">
        <is>
          <t>VÄRNAMO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46299</v>
      </c>
      <c r="F147" t="inlineStr">
        <is>
          <t>JÖNKÖPINGS LÄN</t>
        </is>
      </c>
      <c r="G147" t="inlineStr">
        <is>
          <t>VÄRNAMO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46029</v>
      </c>
      <c r="E148" s="1" t="n">
        <v>46299</v>
      </c>
      <c r="F148" t="inlineStr">
        <is>
          <t>JÖNKÖPINGS LÄN</t>
        </is>
      </c>
      <c r="G148" t="inlineStr">
        <is>
          <t>VÄRNAMO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46299</v>
      </c>
      <c r="F149" t="inlineStr">
        <is>
          <t>JÖNKÖPINGS LÄN</t>
        </is>
      </c>
      <c r="G149" t="inlineStr">
        <is>
          <t>VÄRNAMO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46299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46299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46299</v>
      </c>
      <c r="F152" t="inlineStr">
        <is>
          <t>JÖNKÖPINGS LÄN</t>
        </is>
      </c>
      <c r="G152" t="inlineStr">
        <is>
          <t>VÄRNAMO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46299</v>
      </c>
      <c r="F153" t="inlineStr">
        <is>
          <t>JÖNKÖPINGS LÄN</t>
        </is>
      </c>
      <c r="G153" t="inlineStr">
        <is>
          <t>VÄRNAMO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46299</v>
      </c>
      <c r="F154" t="inlineStr">
        <is>
          <t>JÖNKÖPINGS LÄN</t>
        </is>
      </c>
      <c r="G154" t="inlineStr">
        <is>
          <t>VÄRNAMO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46299</v>
      </c>
      <c r="F155" t="inlineStr">
        <is>
          <t>JÖNKÖPINGS LÄN</t>
        </is>
      </c>
      <c r="G155" t="inlineStr">
        <is>
          <t>VÄRNAMO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46299</v>
      </c>
      <c r="F156" t="inlineStr">
        <is>
          <t>JÖNKÖPINGS LÄN</t>
        </is>
      </c>
      <c r="G156" t="inlineStr">
        <is>
          <t>VÄRNAMO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46299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45758</v>
      </c>
      <c r="E158" s="1" t="n">
        <v>46299</v>
      </c>
      <c r="F158" t="inlineStr">
        <is>
          <t>JÖNKÖPINGS LÄN</t>
        </is>
      </c>
      <c r="G158" t="inlineStr">
        <is>
          <t>VÄRNAMO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46299</v>
      </c>
      <c r="F159" t="inlineStr">
        <is>
          <t>JÖNKÖPINGS LÄN</t>
        </is>
      </c>
      <c r="G159" t="inlineStr">
        <is>
          <t>VÄRNAMO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45200</v>
      </c>
      <c r="E160" s="1" t="n">
        <v>46299</v>
      </c>
      <c r="F160" t="inlineStr">
        <is>
          <t>JÖNKÖPINGS LÄN</t>
        </is>
      </c>
      <c r="G160" t="inlineStr">
        <is>
          <t>VÄRNAMO</t>
        </is>
      </c>
      <c r="H160" t="inlineStr">
        <is>
          <t>Övriga Aktiebolag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46299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46299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46299</v>
      </c>
      <c r="F163" t="inlineStr">
        <is>
          <t>JÖNKÖPINGS LÄN</t>
        </is>
      </c>
      <c r="G163" t="inlineStr">
        <is>
          <t>VÄRNAMO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46299</v>
      </c>
      <c r="F164" t="inlineStr">
        <is>
          <t>JÖNKÖPINGS LÄN</t>
        </is>
      </c>
      <c r="G164" t="inlineStr">
        <is>
          <t>VÄRNAMO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46299</v>
      </c>
      <c r="F165" t="inlineStr">
        <is>
          <t>JÖNKÖPINGS LÄN</t>
        </is>
      </c>
      <c r="G165" t="inlineStr">
        <is>
          <t>VÄRNAMO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46299</v>
      </c>
      <c r="F166" t="inlineStr">
        <is>
          <t>JÖNKÖPINGS LÄN</t>
        </is>
      </c>
      <c r="G166" t="inlineStr">
        <is>
          <t>VÄRNAMO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46299</v>
      </c>
      <c r="F167" t="inlineStr">
        <is>
          <t>JÖNKÖPINGS LÄN</t>
        </is>
      </c>
      <c r="G167" t="inlineStr">
        <is>
          <t>VÄRNAMO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46299</v>
      </c>
      <c r="F168" t="inlineStr">
        <is>
          <t>JÖNKÖPINGS LÄN</t>
        </is>
      </c>
      <c r="G168" t="inlineStr">
        <is>
          <t>VÄRNAMO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46299</v>
      </c>
      <c r="F169" t="inlineStr">
        <is>
          <t>JÖNKÖPINGS LÄN</t>
        </is>
      </c>
      <c r="G169" t="inlineStr">
        <is>
          <t>VÄRNAMO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46299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46299</v>
      </c>
      <c r="F171" t="inlineStr">
        <is>
          <t>JÖNKÖPINGS LÄN</t>
        </is>
      </c>
      <c r="G171" t="inlineStr">
        <is>
          <t>VÄRNAMO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46299</v>
      </c>
      <c r="F172" t="inlineStr">
        <is>
          <t>JÖNKÖPINGS LÄN</t>
        </is>
      </c>
      <c r="G172" t="inlineStr">
        <is>
          <t>VÄRNAMO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46299</v>
      </c>
      <c r="F173" t="inlineStr">
        <is>
          <t>JÖNKÖPINGS LÄN</t>
        </is>
      </c>
      <c r="G173" t="inlineStr">
        <is>
          <t>VÄRNAMO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46299</v>
      </c>
      <c r="F174" t="inlineStr">
        <is>
          <t>JÖNKÖPINGS LÄN</t>
        </is>
      </c>
      <c r="G174" t="inlineStr">
        <is>
          <t>VÄRNAMO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46299</v>
      </c>
      <c r="F175" t="inlineStr">
        <is>
          <t>JÖNKÖPINGS LÄN</t>
        </is>
      </c>
      <c r="G175" t="inlineStr">
        <is>
          <t>VÄRNAMO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46299</v>
      </c>
      <c r="F176" t="inlineStr">
        <is>
          <t>JÖNKÖPINGS LÄN</t>
        </is>
      </c>
      <c r="G176" t="inlineStr">
        <is>
          <t>VÄRNAMO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46299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46299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46045</v>
      </c>
      <c r="E179" s="1" t="n">
        <v>46299</v>
      </c>
      <c r="F179" t="inlineStr">
        <is>
          <t>JÖNKÖPINGS LÄN</t>
        </is>
      </c>
      <c r="G179" t="inlineStr">
        <is>
          <t>VÄRNAMO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46045</v>
      </c>
      <c r="E180" s="1" t="n">
        <v>46299</v>
      </c>
      <c r="F180" t="inlineStr">
        <is>
          <t>JÖNKÖPINGS LÄN</t>
        </is>
      </c>
      <c r="G180" t="inlineStr">
        <is>
          <t>VÄRNAMO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46299</v>
      </c>
      <c r="F181" t="inlineStr">
        <is>
          <t>JÖNKÖPINGS LÄN</t>
        </is>
      </c>
      <c r="G181" t="inlineStr">
        <is>
          <t>VÄRNAMO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46299</v>
      </c>
      <c r="F182" t="inlineStr">
        <is>
          <t>JÖNKÖPINGS LÄN</t>
        </is>
      </c>
      <c r="G182" t="inlineStr">
        <is>
          <t>VÄRNAMO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46299</v>
      </c>
      <c r="F183" t="inlineStr">
        <is>
          <t>JÖNKÖPINGS LÄN</t>
        </is>
      </c>
      <c r="G183" t="inlineStr">
        <is>
          <t>VÄRNAMO</t>
        </is>
      </c>
      <c r="H183" t="inlineStr">
        <is>
          <t>Övriga Aktiebolag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45674</v>
      </c>
      <c r="E184" s="1" t="n">
        <v>46299</v>
      </c>
      <c r="F184" t="inlineStr">
        <is>
          <t>JÖNKÖPINGS LÄN</t>
        </is>
      </c>
      <c r="G184" t="inlineStr">
        <is>
          <t>VÄRNAMO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46299</v>
      </c>
      <c r="F185" t="inlineStr">
        <is>
          <t>JÖNKÖPINGS LÄN</t>
        </is>
      </c>
      <c r="G185" t="inlineStr">
        <is>
          <t>VÄRNAMO</t>
        </is>
      </c>
      <c r="H185" t="inlineStr">
        <is>
          <t>Övriga Aktiebolag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46299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46299</v>
      </c>
      <c r="F187" t="inlineStr">
        <is>
          <t>JÖNKÖPINGS LÄN</t>
        </is>
      </c>
      <c r="G187" t="inlineStr">
        <is>
          <t>VÄRNAMO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46299</v>
      </c>
      <c r="F188" t="inlineStr">
        <is>
          <t>JÖNKÖPINGS LÄN</t>
        </is>
      </c>
      <c r="G188" t="inlineStr">
        <is>
          <t>VÄRNAMO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46050</v>
      </c>
      <c r="E189" s="1" t="n">
        <v>46299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46299</v>
      </c>
      <c r="F190" t="inlineStr">
        <is>
          <t>JÖNKÖPINGS LÄN</t>
        </is>
      </c>
      <c r="G190" t="inlineStr">
        <is>
          <t>VÄRNAMO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46299</v>
      </c>
      <c r="F191" t="inlineStr">
        <is>
          <t>JÖNKÖPINGS LÄN</t>
        </is>
      </c>
      <c r="G191" t="inlineStr">
        <is>
          <t>VÄRNAMO</t>
        </is>
      </c>
      <c r="H191" t="inlineStr">
        <is>
          <t>Kommuner</t>
        </is>
      </c>
      <c r="I191" t="n">
        <v>12.9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46299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46299</v>
      </c>
      <c r="F193" t="inlineStr">
        <is>
          <t>JÖNKÖPINGS LÄN</t>
        </is>
      </c>
      <c r="G193" t="inlineStr">
        <is>
          <t>VÄRNAMO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46299</v>
      </c>
      <c r="F194" t="inlineStr">
        <is>
          <t>JÖNKÖPINGS LÄN</t>
        </is>
      </c>
      <c r="G194" t="inlineStr">
        <is>
          <t>VÄRNAMO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46299</v>
      </c>
      <c r="F195" t="inlineStr">
        <is>
          <t>JÖNKÖPINGS LÄN</t>
        </is>
      </c>
      <c r="G195" t="inlineStr">
        <is>
          <t>VÄRNAMO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46299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46299</v>
      </c>
      <c r="F197" t="inlineStr">
        <is>
          <t>JÖNKÖPINGS LÄN</t>
        </is>
      </c>
      <c r="G197" t="inlineStr">
        <is>
          <t>VÄRNAMO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46299</v>
      </c>
      <c r="F198" t="inlineStr">
        <is>
          <t>JÖNKÖPINGS LÄN</t>
        </is>
      </c>
      <c r="G198" t="inlineStr">
        <is>
          <t>VÄRNAMO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46299</v>
      </c>
      <c r="F199" t="inlineStr">
        <is>
          <t>JÖNKÖPINGS LÄN</t>
        </is>
      </c>
      <c r="G199" t="inlineStr">
        <is>
          <t>VÄRNAMO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46299</v>
      </c>
      <c r="F200" t="inlineStr">
        <is>
          <t>JÖNKÖPINGS LÄN</t>
        </is>
      </c>
      <c r="G200" t="inlineStr">
        <is>
          <t>VÄRNAMO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46299</v>
      </c>
      <c r="F201" t="inlineStr">
        <is>
          <t>JÖNKÖPINGS LÄN</t>
        </is>
      </c>
      <c r="G201" t="inlineStr">
        <is>
          <t>VÄRNAMO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46299</v>
      </c>
      <c r="F202" t="inlineStr">
        <is>
          <t>JÖNKÖPINGS LÄN</t>
        </is>
      </c>
      <c r="G202" t="inlineStr">
        <is>
          <t>VÄRNAMO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45524</v>
      </c>
      <c r="E203" s="1" t="n">
        <v>46299</v>
      </c>
      <c r="F203" t="inlineStr">
        <is>
          <t>JÖNKÖPINGS LÄN</t>
        </is>
      </c>
      <c r="G203" t="inlineStr">
        <is>
          <t>VÄRNAMO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45180</v>
      </c>
      <c r="E204" s="1" t="n">
        <v>46299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45221</v>
      </c>
      <c r="E205" s="1" t="n">
        <v>46299</v>
      </c>
      <c r="F205" t="inlineStr">
        <is>
          <t>JÖNKÖPINGS LÄN</t>
        </is>
      </c>
      <c r="G205" t="inlineStr">
        <is>
          <t>VÄRNAMO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46299</v>
      </c>
      <c r="F206" t="inlineStr">
        <is>
          <t>JÖNKÖPINGS LÄN</t>
        </is>
      </c>
      <c r="G206" t="inlineStr">
        <is>
          <t>VÄRNAMO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46299</v>
      </c>
      <c r="F207" t="inlineStr">
        <is>
          <t>JÖNKÖPINGS LÄN</t>
        </is>
      </c>
      <c r="G207" t="inlineStr">
        <is>
          <t>VÄRNAMO</t>
        </is>
      </c>
      <c r="H207" t="inlineStr">
        <is>
          <t>Sveaskog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46299</v>
      </c>
      <c r="F208" t="inlineStr">
        <is>
          <t>JÖNKÖPINGS LÄN</t>
        </is>
      </c>
      <c r="G208" t="inlineStr">
        <is>
          <t>VÄRNAMO</t>
        </is>
      </c>
      <c r="H208" t="inlineStr">
        <is>
          <t>Sveaskog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46299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46299</v>
      </c>
      <c r="F210" t="inlineStr">
        <is>
          <t>JÖNKÖPINGS LÄN</t>
        </is>
      </c>
      <c r="G210" t="inlineStr">
        <is>
          <t>VÄRNAMO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46299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46299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10031-2026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46073</v>
      </c>
      <c r="E213" s="1" t="n">
        <v>46299</v>
      </c>
      <c r="F213" t="inlineStr">
        <is>
          <t>JÖNKÖPINGS LÄN</t>
        </is>
      </c>
      <c r="G213" t="inlineStr">
        <is>
          <t>VÄRNAMO</t>
        </is>
      </c>
      <c r="H213" t="inlineStr">
        <is>
          <t>Sveaskog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46299</v>
      </c>
      <c r="F214" t="inlineStr">
        <is>
          <t>JÖNKÖPINGS LÄN</t>
        </is>
      </c>
      <c r="G214" t="inlineStr">
        <is>
          <t>VÄRNAMO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46299</v>
      </c>
      <c r="F215" t="inlineStr">
        <is>
          <t>JÖNKÖPINGS LÄN</t>
        </is>
      </c>
      <c r="G215" t="inlineStr">
        <is>
          <t>VÄRNAMO</t>
        </is>
      </c>
      <c r="I215" t="n">
        <v>12.6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45446</v>
      </c>
      <c r="E216" s="1" t="n">
        <v>46299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45189</v>
      </c>
      <c r="E217" s="1" t="n">
        <v>46299</v>
      </c>
      <c r="F217" t="inlineStr">
        <is>
          <t>JÖNKÖPINGS LÄN</t>
        </is>
      </c>
      <c r="G217" t="inlineStr">
        <is>
          <t>VÄRNAMO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46299</v>
      </c>
      <c r="F218" t="inlineStr">
        <is>
          <t>JÖNKÖPINGS LÄN</t>
        </is>
      </c>
      <c r="G218" t="inlineStr">
        <is>
          <t>VÄRNAMO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46299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46299</v>
      </c>
      <c r="F220" t="inlineStr">
        <is>
          <t>JÖNKÖPINGS LÄN</t>
        </is>
      </c>
      <c r="G220" t="inlineStr">
        <is>
          <t>VÄRNAMO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44602</v>
      </c>
      <c r="E221" s="1" t="n">
        <v>46299</v>
      </c>
      <c r="F221" t="inlineStr">
        <is>
          <t>JÖNKÖPINGS LÄN</t>
        </is>
      </c>
      <c r="G221" t="inlineStr">
        <is>
          <t>VÄRNAMO</t>
        </is>
      </c>
      <c r="H221" t="inlineStr">
        <is>
          <t>Kommuner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46299</v>
      </c>
      <c r="F222" t="inlineStr">
        <is>
          <t>JÖNKÖPINGS LÄN</t>
        </is>
      </c>
      <c r="G222" t="inlineStr">
        <is>
          <t>VÄRNAMO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46299</v>
      </c>
      <c r="F223" t="inlineStr">
        <is>
          <t>JÖNKÖPINGS LÄN</t>
        </is>
      </c>
      <c r="G223" t="inlineStr">
        <is>
          <t>VÄRNAMO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44642</v>
      </c>
      <c r="E224" s="1" t="n">
        <v>46299</v>
      </c>
      <c r="F224" t="inlineStr">
        <is>
          <t>JÖNKÖPINGS LÄN</t>
        </is>
      </c>
      <c r="G224" t="inlineStr">
        <is>
          <t>VÄRNAMO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44642</v>
      </c>
      <c r="E225" s="1" t="n">
        <v>46299</v>
      </c>
      <c r="F225" t="inlineStr">
        <is>
          <t>JÖNKÖPINGS LÄN</t>
        </is>
      </c>
      <c r="G225" t="inlineStr">
        <is>
          <t>VÄRNAMO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46299</v>
      </c>
      <c r="F226" t="inlineStr">
        <is>
          <t>JÖNKÖPINGS LÄN</t>
        </is>
      </c>
      <c r="G226" t="inlineStr">
        <is>
          <t>VÄRNAMO</t>
        </is>
      </c>
      <c r="H226" t="inlineStr">
        <is>
          <t>Kommuner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46299</v>
      </c>
      <c r="F227" t="inlineStr">
        <is>
          <t>JÖNKÖPINGS LÄN</t>
        </is>
      </c>
      <c r="G227" t="inlineStr">
        <is>
          <t>VÄRNAMO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53473-2025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45959</v>
      </c>
      <c r="E228" s="1" t="n">
        <v>46299</v>
      </c>
      <c r="F228" t="inlineStr">
        <is>
          <t>JÖNKÖPINGS LÄN</t>
        </is>
      </c>
      <c r="G228" t="inlineStr">
        <is>
          <t>VÄRNAMO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45610</v>
      </c>
      <c r="E229" s="1" t="n">
        <v>46299</v>
      </c>
      <c r="F229" t="inlineStr">
        <is>
          <t>JÖNKÖPINGS LÄN</t>
        </is>
      </c>
      <c r="G229" t="inlineStr">
        <is>
          <t>VÄRNAMO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12095-2026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46086</v>
      </c>
      <c r="E230" s="1" t="n">
        <v>46299</v>
      </c>
      <c r="F230" t="inlineStr">
        <is>
          <t>JÖNKÖPINGS LÄN</t>
        </is>
      </c>
      <c r="G230" t="inlineStr">
        <is>
          <t>VÄRNAMO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46299</v>
      </c>
      <c r="F231" t="inlineStr">
        <is>
          <t>JÖNKÖPINGS LÄN</t>
        </is>
      </c>
      <c r="G231" t="inlineStr">
        <is>
          <t>VÄRNAMO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46299</v>
      </c>
      <c r="F232" t="inlineStr">
        <is>
          <t>JÖNKÖPINGS LÄN</t>
        </is>
      </c>
      <c r="G232" t="inlineStr">
        <is>
          <t>VÄRNAMO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46299</v>
      </c>
      <c r="F233" t="inlineStr">
        <is>
          <t>JÖNKÖPINGS LÄN</t>
        </is>
      </c>
      <c r="G233" t="inlineStr">
        <is>
          <t>VÄRNAMO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46299</v>
      </c>
      <c r="F234" t="inlineStr">
        <is>
          <t>JÖNKÖPINGS LÄN</t>
        </is>
      </c>
      <c r="G234" t="inlineStr">
        <is>
          <t>VÄRNAMO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44577</v>
      </c>
      <c r="E235" s="1" t="n">
        <v>46299</v>
      </c>
      <c r="F235" t="inlineStr">
        <is>
          <t>JÖNKÖPINGS LÄN</t>
        </is>
      </c>
      <c r="G235" t="inlineStr">
        <is>
          <t>VÄRNAMO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46299</v>
      </c>
      <c r="F236" t="inlineStr">
        <is>
          <t>JÖNKÖPINGS LÄN</t>
        </is>
      </c>
      <c r="G236" t="inlineStr">
        <is>
          <t>VÄRNAMO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46299</v>
      </c>
      <c r="F237" t="inlineStr">
        <is>
          <t>JÖNKÖPINGS LÄN</t>
        </is>
      </c>
      <c r="G237" t="inlineStr">
        <is>
          <t>VÄRNAMO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46299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46299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46299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46299</v>
      </c>
      <c r="F241" t="inlineStr">
        <is>
          <t>JÖNKÖPINGS LÄN</t>
        </is>
      </c>
      <c r="G241" t="inlineStr">
        <is>
          <t>VÄRNAMO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24703-2022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44727</v>
      </c>
      <c r="E242" s="1" t="n">
        <v>46299</v>
      </c>
      <c r="F242" t="inlineStr">
        <is>
          <t>JÖNKÖPINGS LÄN</t>
        </is>
      </c>
      <c r="G242" t="inlineStr">
        <is>
          <t>VÄRNAMO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46299</v>
      </c>
      <c r="F243" t="inlineStr">
        <is>
          <t>JÖNKÖPINGS LÄN</t>
        </is>
      </c>
      <c r="G243" t="inlineStr">
        <is>
          <t>VÄRNAMO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45069</v>
      </c>
      <c r="E244" s="1" t="n">
        <v>46299</v>
      </c>
      <c r="F244" t="inlineStr">
        <is>
          <t>JÖNKÖPINGS LÄN</t>
        </is>
      </c>
      <c r="G244" t="inlineStr">
        <is>
          <t>VÄRNAMO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46299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46299</v>
      </c>
      <c r="F246" t="inlineStr">
        <is>
          <t>JÖNKÖPINGS LÄN</t>
        </is>
      </c>
      <c r="G246" t="inlineStr">
        <is>
          <t>VÄRNAMO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46299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46299</v>
      </c>
      <c r="F248" t="inlineStr">
        <is>
          <t>JÖNKÖPINGS LÄN</t>
        </is>
      </c>
      <c r="G248" t="inlineStr">
        <is>
          <t>VÄRNAMO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45267</v>
      </c>
      <c r="E249" s="1" t="n">
        <v>46299</v>
      </c>
      <c r="F249" t="inlineStr">
        <is>
          <t>JÖNKÖPINGS LÄN</t>
        </is>
      </c>
      <c r="G249" t="inlineStr">
        <is>
          <t>VÄRNAMO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46299</v>
      </c>
      <c r="F250" t="inlineStr">
        <is>
          <t>JÖNKÖPINGS LÄN</t>
        </is>
      </c>
      <c r="G250" t="inlineStr">
        <is>
          <t>VÄRNAMO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46299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46299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46299</v>
      </c>
      <c r="F253" t="inlineStr">
        <is>
          <t>JÖNKÖPINGS LÄN</t>
        </is>
      </c>
      <c r="G253" t="inlineStr">
        <is>
          <t>VÄRNAMO</t>
        </is>
      </c>
      <c r="H253" t="inlineStr">
        <is>
          <t>Kommuner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46299</v>
      </c>
      <c r="F254" t="inlineStr">
        <is>
          <t>JÖNKÖPINGS LÄN</t>
        </is>
      </c>
      <c r="G254" t="inlineStr">
        <is>
          <t>VÄRNAMO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46299</v>
      </c>
      <c r="F255" t="inlineStr">
        <is>
          <t>JÖNKÖPINGS LÄN</t>
        </is>
      </c>
      <c r="G255" t="inlineStr">
        <is>
          <t>VÄRNAMO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46299</v>
      </c>
      <c r="F256" t="inlineStr">
        <is>
          <t>JÖNKÖPINGS LÄN</t>
        </is>
      </c>
      <c r="G256" t="inlineStr">
        <is>
          <t>VÄRNAMO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46299</v>
      </c>
      <c r="F257" t="inlineStr">
        <is>
          <t>JÖNKÖPINGS LÄN</t>
        </is>
      </c>
      <c r="G257" t="inlineStr">
        <is>
          <t>VÄRNAMO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46299</v>
      </c>
      <c r="F258" t="inlineStr">
        <is>
          <t>JÖNKÖPINGS LÄN</t>
        </is>
      </c>
      <c r="G258" t="inlineStr">
        <is>
          <t>VÄRNAMO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45975</v>
      </c>
      <c r="E259" s="1" t="n">
        <v>46299</v>
      </c>
      <c r="F259" t="inlineStr">
        <is>
          <t>JÖNKÖPINGS LÄN</t>
        </is>
      </c>
      <c r="G259" t="inlineStr">
        <is>
          <t>VÄRNAMO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46299</v>
      </c>
      <c r="F260" t="inlineStr">
        <is>
          <t>JÖNKÖPINGS LÄN</t>
        </is>
      </c>
      <c r="G260" t="inlineStr">
        <is>
          <t>VÄRNAMO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46299</v>
      </c>
      <c r="F261" t="inlineStr">
        <is>
          <t>JÖNKÖPINGS LÄN</t>
        </is>
      </c>
      <c r="G261" t="inlineStr">
        <is>
          <t>VÄRNAMO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46299</v>
      </c>
      <c r="F262" t="inlineStr">
        <is>
          <t>JÖNKÖPINGS LÄN</t>
        </is>
      </c>
      <c r="G262" t="inlineStr">
        <is>
          <t>VÄRNAMO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44840</v>
      </c>
      <c r="E263" s="1" t="n">
        <v>46299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45649</v>
      </c>
      <c r="E264" s="1" t="n">
        <v>46299</v>
      </c>
      <c r="F264" t="inlineStr">
        <is>
          <t>JÖNKÖPINGS LÄN</t>
        </is>
      </c>
      <c r="G264" t="inlineStr">
        <is>
          <t>VÄRNAMO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46299</v>
      </c>
      <c r="F265" t="inlineStr">
        <is>
          <t>JÖNKÖPINGS LÄN</t>
        </is>
      </c>
      <c r="G265" t="inlineStr">
        <is>
          <t>VÄRNAMO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46299</v>
      </c>
      <c r="F266" t="inlineStr">
        <is>
          <t>JÖNKÖPINGS LÄN</t>
        </is>
      </c>
      <c r="G266" t="inlineStr">
        <is>
          <t>VÄRNAMO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46299</v>
      </c>
      <c r="F267" t="inlineStr">
        <is>
          <t>JÖNKÖPINGS LÄN</t>
        </is>
      </c>
      <c r="G267" t="inlineStr">
        <is>
          <t>VÄRNAMO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46299</v>
      </c>
      <c r="F268" t="inlineStr">
        <is>
          <t>JÖNKÖPINGS LÄN</t>
        </is>
      </c>
      <c r="G268" t="inlineStr">
        <is>
          <t>VÄRNAMO</t>
        </is>
      </c>
      <c r="H268" t="inlineStr">
        <is>
          <t>Kyrkan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45562</v>
      </c>
      <c r="E269" s="1" t="n">
        <v>46299</v>
      </c>
      <c r="F269" t="inlineStr">
        <is>
          <t>JÖNKÖPINGS LÄN</t>
        </is>
      </c>
      <c r="G269" t="inlineStr">
        <is>
          <t>VÄRNAMO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46299</v>
      </c>
      <c r="F270" t="inlineStr">
        <is>
          <t>JÖNKÖPINGS LÄN</t>
        </is>
      </c>
      <c r="G270" t="inlineStr">
        <is>
          <t>VÄRNAMO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45217</v>
      </c>
      <c r="E271" s="1" t="n">
        <v>46299</v>
      </c>
      <c r="F271" t="inlineStr">
        <is>
          <t>JÖNKÖPINGS LÄN</t>
        </is>
      </c>
      <c r="G271" t="inlineStr">
        <is>
          <t>VÄRNAMO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46299</v>
      </c>
      <c r="F272" t="inlineStr">
        <is>
          <t>JÖNKÖPINGS LÄN</t>
        </is>
      </c>
      <c r="G272" t="inlineStr">
        <is>
          <t>VÄRNAMO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46299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46299</v>
      </c>
      <c r="F274" t="inlineStr">
        <is>
          <t>JÖNKÖPINGS LÄN</t>
        </is>
      </c>
      <c r="G274" t="inlineStr">
        <is>
          <t>VÄRNAMO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46299</v>
      </c>
      <c r="F275" t="inlineStr">
        <is>
          <t>JÖNKÖPINGS LÄN</t>
        </is>
      </c>
      <c r="G275" t="inlineStr">
        <is>
          <t>VÄRNAMO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46299</v>
      </c>
      <c r="F276" t="inlineStr">
        <is>
          <t>JÖNKÖPINGS LÄN</t>
        </is>
      </c>
      <c r="G276" t="inlineStr">
        <is>
          <t>VÄRNAMO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46299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15101-2026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46101</v>
      </c>
      <c r="E278" s="1" t="n">
        <v>46299</v>
      </c>
      <c r="F278" t="inlineStr">
        <is>
          <t>JÖNKÖPINGS LÄN</t>
        </is>
      </c>
      <c r="G278" t="inlineStr">
        <is>
          <t>VÄRNAMO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46299</v>
      </c>
      <c r="F279" t="inlineStr">
        <is>
          <t>JÖNKÖPINGS LÄN</t>
        </is>
      </c>
      <c r="G279" t="inlineStr">
        <is>
          <t>VÄRNAMO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46299</v>
      </c>
      <c r="F280" t="inlineStr">
        <is>
          <t>JÖNKÖPINGS LÄN</t>
        </is>
      </c>
      <c r="G280" t="inlineStr">
        <is>
          <t>VÄRNAMO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45324</v>
      </c>
      <c r="E281" s="1" t="n">
        <v>46299</v>
      </c>
      <c r="F281" t="inlineStr">
        <is>
          <t>JÖNKÖPINGS LÄN</t>
        </is>
      </c>
      <c r="G281" t="inlineStr">
        <is>
          <t>VÄRNAMO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46299</v>
      </c>
      <c r="F282" t="inlineStr">
        <is>
          <t>JÖNKÖPINGS LÄN</t>
        </is>
      </c>
      <c r="G282" t="inlineStr">
        <is>
          <t>VÄRNAMO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46299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45993</v>
      </c>
      <c r="E284" s="1" t="n">
        <v>46299</v>
      </c>
      <c r="F284" t="inlineStr">
        <is>
          <t>JÖNKÖPINGS LÄN</t>
        </is>
      </c>
      <c r="G284" t="inlineStr">
        <is>
          <t>VÄRNAMO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46299</v>
      </c>
      <c r="F285" t="inlineStr">
        <is>
          <t>JÖNKÖPINGS LÄN</t>
        </is>
      </c>
      <c r="G285" t="inlineStr">
        <is>
          <t>VÄRNAMO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45120-2023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45191</v>
      </c>
      <c r="E286" s="1" t="n">
        <v>46299</v>
      </c>
      <c r="F286" t="inlineStr">
        <is>
          <t>JÖNKÖPINGS LÄN</t>
        </is>
      </c>
      <c r="G286" t="inlineStr">
        <is>
          <t>VÄRNAMO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46299</v>
      </c>
      <c r="F287" t="inlineStr">
        <is>
          <t>JÖNKÖPINGS LÄN</t>
        </is>
      </c>
      <c r="G287" t="inlineStr">
        <is>
          <t>VÄRNAMO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46299</v>
      </c>
      <c r="F288" t="inlineStr">
        <is>
          <t>JÖNKÖPINGS LÄN</t>
        </is>
      </c>
      <c r="G288" t="inlineStr">
        <is>
          <t>VÄRNAMO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46299</v>
      </c>
      <c r="F289" t="inlineStr">
        <is>
          <t>JÖNKÖPINGS LÄN</t>
        </is>
      </c>
      <c r="G289" t="inlineStr">
        <is>
          <t>VÄRNAMO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46299</v>
      </c>
      <c r="F290" t="inlineStr">
        <is>
          <t>JÖNKÖPINGS LÄN</t>
        </is>
      </c>
      <c r="G290" t="inlineStr">
        <is>
          <t>VÄRNAMO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46299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46299</v>
      </c>
      <c r="F292" t="inlineStr">
        <is>
          <t>JÖNKÖPINGS LÄN</t>
        </is>
      </c>
      <c r="G292" t="inlineStr">
        <is>
          <t>VÄRNAMO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46299</v>
      </c>
      <c r="F293" t="inlineStr">
        <is>
          <t>JÖNKÖPINGS LÄN</t>
        </is>
      </c>
      <c r="G293" t="inlineStr">
        <is>
          <t>VÄRNAMO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47968-2022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44853</v>
      </c>
      <c r="E294" s="1" t="n">
        <v>46299</v>
      </c>
      <c r="F294" t="inlineStr">
        <is>
          <t>JÖNKÖPINGS LÄN</t>
        </is>
      </c>
      <c r="G294" t="inlineStr">
        <is>
          <t>VÄRNAMO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47987-2022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44853</v>
      </c>
      <c r="E295" s="1" t="n">
        <v>46299</v>
      </c>
      <c r="F295" t="inlineStr">
        <is>
          <t>JÖNKÖPINGS LÄN</t>
        </is>
      </c>
      <c r="G295" t="inlineStr">
        <is>
          <t>VÄRNAMO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45678</v>
      </c>
      <c r="E296" s="1" t="n">
        <v>46299</v>
      </c>
      <c r="F296" t="inlineStr">
        <is>
          <t>JÖNKÖPINGS LÄN</t>
        </is>
      </c>
      <c r="G296" t="inlineStr">
        <is>
          <t>VÄRNAMO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46299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46299</v>
      </c>
      <c r="F298" t="inlineStr">
        <is>
          <t>JÖNKÖPINGS LÄN</t>
        </is>
      </c>
      <c r="G298" t="inlineStr">
        <is>
          <t>VÄRNAMO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46299</v>
      </c>
      <c r="F299" t="inlineStr">
        <is>
          <t>JÖNKÖPINGS LÄN</t>
        </is>
      </c>
      <c r="G299" t="inlineStr">
        <is>
          <t>VÄRNAMO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46299</v>
      </c>
      <c r="F300" t="inlineStr">
        <is>
          <t>JÖNKÖPINGS LÄN</t>
        </is>
      </c>
      <c r="G300" t="inlineStr">
        <is>
          <t>VÄRNAMO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45805</v>
      </c>
      <c r="E301" s="1" t="n">
        <v>46299</v>
      </c>
      <c r="F301" t="inlineStr">
        <is>
          <t>JÖNKÖPINGS LÄN</t>
        </is>
      </c>
      <c r="G301" t="inlineStr">
        <is>
          <t>VÄRNAMO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45659</v>
      </c>
      <c r="E302" s="1" t="n">
        <v>46299</v>
      </c>
      <c r="F302" t="inlineStr">
        <is>
          <t>JÖNKÖPINGS LÄN</t>
        </is>
      </c>
      <c r="G302" t="inlineStr">
        <is>
          <t>VÄRNAMO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44984</v>
      </c>
      <c r="E303" s="1" t="n">
        <v>46299</v>
      </c>
      <c r="F303" t="inlineStr">
        <is>
          <t>JÖNKÖPINGS LÄN</t>
        </is>
      </c>
      <c r="G303" t="inlineStr">
        <is>
          <t>VÄRNAMO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45509</v>
      </c>
      <c r="E304" s="1" t="n">
        <v>46299</v>
      </c>
      <c r="F304" t="inlineStr">
        <is>
          <t>JÖNKÖPINGS LÄN</t>
        </is>
      </c>
      <c r="G304" t="inlineStr">
        <is>
          <t>VÄRNAMO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46299</v>
      </c>
      <c r="F305" t="inlineStr">
        <is>
          <t>JÖNKÖPINGS LÄN</t>
        </is>
      </c>
      <c r="G305" t="inlineStr">
        <is>
          <t>VÄRNAMO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46299</v>
      </c>
      <c r="F306" t="inlineStr">
        <is>
          <t>JÖNKÖPINGS LÄN</t>
        </is>
      </c>
      <c r="G306" t="inlineStr">
        <is>
          <t>VÄRNAMO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45566</v>
      </c>
      <c r="E307" s="1" t="n">
        <v>46299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45642</v>
      </c>
      <c r="E308" s="1" t="n">
        <v>46299</v>
      </c>
      <c r="F308" t="inlineStr">
        <is>
          <t>JÖNKÖPINGS LÄN</t>
        </is>
      </c>
      <c r="G308" t="inlineStr">
        <is>
          <t>VÄRNAMO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40486-2022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44823</v>
      </c>
      <c r="E309" s="1" t="n">
        <v>46299</v>
      </c>
      <c r="F309" t="inlineStr">
        <is>
          <t>JÖNKÖPINGS LÄN</t>
        </is>
      </c>
      <c r="G309" t="inlineStr">
        <is>
          <t>VÄRNAMO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48664-2023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46299</v>
      </c>
      <c r="F310" t="inlineStr">
        <is>
          <t>JÖNKÖPINGS LÄN</t>
        </is>
      </c>
      <c r="G310" t="inlineStr">
        <is>
          <t>VÄRNAMO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46299</v>
      </c>
      <c r="F311" t="inlineStr">
        <is>
          <t>JÖNKÖPINGS LÄN</t>
        </is>
      </c>
      <c r="G311" t="inlineStr">
        <is>
          <t>VÄRNAMO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46299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46299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45845</v>
      </c>
      <c r="E314" s="1" t="n">
        <v>46299</v>
      </c>
      <c r="F314" t="inlineStr">
        <is>
          <t>JÖNKÖPINGS LÄN</t>
        </is>
      </c>
      <c r="G314" t="inlineStr">
        <is>
          <t>VÄRNAMO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46299</v>
      </c>
      <c r="F315" t="inlineStr">
        <is>
          <t>JÖNKÖPINGS LÄN</t>
        </is>
      </c>
      <c r="G315" t="inlineStr">
        <is>
          <t>VÄRNAMO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46299</v>
      </c>
      <c r="F316" t="inlineStr">
        <is>
          <t>JÖNKÖPINGS LÄN</t>
        </is>
      </c>
      <c r="G316" t="inlineStr">
        <is>
          <t>VÄRNAMO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45604</v>
      </c>
      <c r="E317" s="1" t="n">
        <v>46299</v>
      </c>
      <c r="F317" t="inlineStr">
        <is>
          <t>JÖNKÖPINGS LÄN</t>
        </is>
      </c>
      <c r="G317" t="inlineStr">
        <is>
          <t>VÄRNAMO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45124</v>
      </c>
      <c r="E318" s="1" t="n">
        <v>46299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20316-2023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45056</v>
      </c>
      <c r="E319" s="1" t="n">
        <v>46299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45726</v>
      </c>
      <c r="E320" s="1" t="n">
        <v>46299</v>
      </c>
      <c r="F320" t="inlineStr">
        <is>
          <t>JÖNKÖPINGS LÄN</t>
        </is>
      </c>
      <c r="G320" t="inlineStr">
        <is>
          <t>VÄRNAMO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46299</v>
      </c>
      <c r="F321" t="inlineStr">
        <is>
          <t>JÖNKÖPINGS LÄN</t>
        </is>
      </c>
      <c r="G321" t="inlineStr">
        <is>
          <t>VÄRNAMO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54519-2021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44473</v>
      </c>
      <c r="E322" s="1" t="n">
        <v>46299</v>
      </c>
      <c r="F322" t="inlineStr">
        <is>
          <t>JÖNKÖPINGS LÄN</t>
        </is>
      </c>
      <c r="G322" t="inlineStr">
        <is>
          <t>VÄRNAMO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46299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46299</v>
      </c>
      <c r="F324" t="inlineStr">
        <is>
          <t>JÖNKÖPINGS LÄN</t>
        </is>
      </c>
      <c r="G324" t="inlineStr">
        <is>
          <t>VÄRNAMO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45853</v>
      </c>
      <c r="E325" s="1" t="n">
        <v>46299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44721-2025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46299</v>
      </c>
      <c r="F326" t="inlineStr">
        <is>
          <t>JÖNKÖPINGS LÄN</t>
        </is>
      </c>
      <c r="G326" t="inlineStr">
        <is>
          <t>VÄRNAMO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46299</v>
      </c>
      <c r="F327" t="inlineStr">
        <is>
          <t>JÖNKÖPINGS LÄN</t>
        </is>
      </c>
      <c r="G327" t="inlineStr">
        <is>
          <t>VÄRNAMO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46299</v>
      </c>
      <c r="F328" t="inlineStr">
        <is>
          <t>JÖNKÖPINGS LÄN</t>
        </is>
      </c>
      <c r="G328" t="inlineStr">
        <is>
          <t>VÄRNAMO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46299</v>
      </c>
      <c r="F329" t="inlineStr">
        <is>
          <t>JÖNKÖPINGS LÄN</t>
        </is>
      </c>
      <c r="G329" t="inlineStr">
        <is>
          <t>VÄRNAMO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20249-2026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46299</v>
      </c>
      <c r="F330" t="inlineStr">
        <is>
          <t>JÖNKÖPINGS LÄN</t>
        </is>
      </c>
      <c r="G330" t="inlineStr">
        <is>
          <t>VÄRNAMO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43162-2024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46299</v>
      </c>
      <c r="F331" t="inlineStr">
        <is>
          <t>JÖNKÖPINGS LÄN</t>
        </is>
      </c>
      <c r="G331" t="inlineStr">
        <is>
          <t>VÄRNAMO</t>
        </is>
      </c>
      <c r="H331" t="inlineStr">
        <is>
          <t>Kommuner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46299</v>
      </c>
      <c r="F332" t="inlineStr">
        <is>
          <t>JÖNKÖPINGS LÄN</t>
        </is>
      </c>
      <c r="G332" t="inlineStr">
        <is>
          <t>VÄRNAMO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45229</v>
      </c>
      <c r="E333" s="1" t="n">
        <v>46299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46299</v>
      </c>
      <c r="F334" t="inlineStr">
        <is>
          <t>JÖNKÖPINGS LÄN</t>
        </is>
      </c>
      <c r="G334" t="inlineStr">
        <is>
          <t>VÄRNAMO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45748</v>
      </c>
      <c r="E335" s="1" t="n">
        <v>46299</v>
      </c>
      <c r="F335" t="inlineStr">
        <is>
          <t>JÖNKÖPINGS LÄN</t>
        </is>
      </c>
      <c r="G335" t="inlineStr">
        <is>
          <t>VÄRNAMO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46299</v>
      </c>
      <c r="F336" t="inlineStr">
        <is>
          <t>JÖNKÖPINGS LÄN</t>
        </is>
      </c>
      <c r="G336" t="inlineStr">
        <is>
          <t>VÄRNAMO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33315-2025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45841</v>
      </c>
      <c r="E337" s="1" t="n">
        <v>46299</v>
      </c>
      <c r="F337" t="inlineStr">
        <is>
          <t>JÖNKÖPINGS LÄN</t>
        </is>
      </c>
      <c r="G337" t="inlineStr">
        <is>
          <t>VÄRNAMO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46299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45785</v>
      </c>
      <c r="E339" s="1" t="n">
        <v>46299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48615-2025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45936</v>
      </c>
      <c r="E340" s="1" t="n">
        <v>46299</v>
      </c>
      <c r="F340" t="inlineStr">
        <is>
          <t>JÖNKÖPINGS LÄN</t>
        </is>
      </c>
      <c r="G340" t="inlineStr">
        <is>
          <t>VÄRNAMO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44931</v>
      </c>
      <c r="E341" s="1" t="n">
        <v>46299</v>
      </c>
      <c r="F341" t="inlineStr">
        <is>
          <t>JÖNKÖPINGS LÄN</t>
        </is>
      </c>
      <c r="G341" t="inlineStr">
        <is>
          <t>VÄRNAMO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46299</v>
      </c>
      <c r="F342" t="inlineStr">
        <is>
          <t>JÖNKÖPINGS LÄN</t>
        </is>
      </c>
      <c r="G342" t="inlineStr">
        <is>
          <t>VÄRNAMO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45684</v>
      </c>
      <c r="E343" s="1" t="n">
        <v>46299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45044</v>
      </c>
      <c r="E344" s="1" t="n">
        <v>46299</v>
      </c>
      <c r="F344" t="inlineStr">
        <is>
          <t>JÖNKÖPINGS LÄN</t>
        </is>
      </c>
      <c r="G344" t="inlineStr">
        <is>
          <t>VÄRNAMO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46299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46299</v>
      </c>
      <c r="F346" t="inlineStr">
        <is>
          <t>JÖNKÖPINGS LÄN</t>
        </is>
      </c>
      <c r="G346" t="inlineStr">
        <is>
          <t>VÄRNAMO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45261</v>
      </c>
      <c r="E347" s="1" t="n">
        <v>46299</v>
      </c>
      <c r="F347" t="inlineStr">
        <is>
          <t>JÖNKÖPINGS LÄN</t>
        </is>
      </c>
      <c r="G347" t="inlineStr">
        <is>
          <t>VÄRNAMO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46299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46299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45509</v>
      </c>
      <c r="E350" s="1" t="n">
        <v>46299</v>
      </c>
      <c r="F350" t="inlineStr">
        <is>
          <t>JÖNKÖPINGS LÄN</t>
        </is>
      </c>
      <c r="G350" t="inlineStr">
        <is>
          <t>VÄRNAMO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45876</v>
      </c>
      <c r="E351" s="1" t="n">
        <v>46299</v>
      </c>
      <c r="F351" t="inlineStr">
        <is>
          <t>JÖNKÖPINGS LÄN</t>
        </is>
      </c>
      <c r="G351" t="inlineStr">
        <is>
          <t>VÄRNAMO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45827</v>
      </c>
      <c r="E352" s="1" t="n">
        <v>46299</v>
      </c>
      <c r="F352" t="inlineStr">
        <is>
          <t>JÖNKÖPINGS LÄN</t>
        </is>
      </c>
      <c r="G352" t="inlineStr">
        <is>
          <t>VÄRNAMO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54477-2022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44882</v>
      </c>
      <c r="E353" s="1" t="n">
        <v>46299</v>
      </c>
      <c r="F353" t="inlineStr">
        <is>
          <t>JÖNKÖPINGS LÄN</t>
        </is>
      </c>
      <c r="G353" t="inlineStr">
        <is>
          <t>VÄRNAMO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30617-2023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45112</v>
      </c>
      <c r="E354" s="1" t="n">
        <v>46299</v>
      </c>
      <c r="F354" t="inlineStr">
        <is>
          <t>JÖNKÖPINGS LÄN</t>
        </is>
      </c>
      <c r="G354" t="inlineStr">
        <is>
          <t>VÄRNAMO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45667</v>
      </c>
      <c r="E355" s="1" t="n">
        <v>46299</v>
      </c>
      <c r="F355" t="inlineStr">
        <is>
          <t>JÖNKÖPINGS LÄN</t>
        </is>
      </c>
      <c r="G355" t="inlineStr">
        <is>
          <t>VÄRNAMO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46299</v>
      </c>
      <c r="F356" t="inlineStr">
        <is>
          <t>JÖNKÖPINGS LÄN</t>
        </is>
      </c>
      <c r="G356" t="inlineStr">
        <is>
          <t>VÄRNAMO</t>
        </is>
      </c>
      <c r="H356" t="inlineStr">
        <is>
          <t>Sveaskog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45105</v>
      </c>
      <c r="E357" s="1" t="n">
        <v>46299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46299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45802</v>
      </c>
      <c r="E359" s="1" t="n">
        <v>46299</v>
      </c>
      <c r="F359" t="inlineStr">
        <is>
          <t>JÖNKÖPINGS LÄN</t>
        </is>
      </c>
      <c r="G359" t="inlineStr">
        <is>
          <t>VÄRNAMO</t>
        </is>
      </c>
      <c r="H359" t="inlineStr">
        <is>
          <t>Övriga Aktiebolag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18600-2023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46299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46299</v>
      </c>
      <c r="F361" t="inlineStr">
        <is>
          <t>JÖNKÖPINGS LÄN</t>
        </is>
      </c>
      <c r="G361" t="inlineStr">
        <is>
          <t>VÄRNAMO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15248-2024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45400</v>
      </c>
      <c r="E362" s="1" t="n">
        <v>46299</v>
      </c>
      <c r="F362" t="inlineStr">
        <is>
          <t>JÖNKÖPINGS LÄN</t>
        </is>
      </c>
      <c r="G362" t="inlineStr">
        <is>
          <t>VÄRNAMO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45221</v>
      </c>
      <c r="E363" s="1" t="n">
        <v>46299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45873</v>
      </c>
      <c r="E364" s="1" t="n">
        <v>46299</v>
      </c>
      <c r="F364" t="inlineStr">
        <is>
          <t>JÖNKÖPINGS LÄN</t>
        </is>
      </c>
      <c r="G364" t="inlineStr">
        <is>
          <t>VÄRNAMO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46299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7130-2023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46299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45272</v>
      </c>
      <c r="E367" s="1" t="n">
        <v>46299</v>
      </c>
      <c r="F367" t="inlineStr">
        <is>
          <t>JÖNKÖPINGS LÄN</t>
        </is>
      </c>
      <c r="G367" t="inlineStr">
        <is>
          <t>VÄRNAMO</t>
        </is>
      </c>
      <c r="H367" t="inlineStr">
        <is>
          <t>Kommuner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45369</v>
      </c>
      <c r="E368" s="1" t="n">
        <v>46299</v>
      </c>
      <c r="F368" t="inlineStr">
        <is>
          <t>JÖNKÖPINGS LÄN</t>
        </is>
      </c>
      <c r="G368" t="inlineStr">
        <is>
          <t>VÄRNAMO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46299</v>
      </c>
      <c r="F369" t="inlineStr">
        <is>
          <t>JÖNKÖPINGS LÄN</t>
        </is>
      </c>
      <c r="G369" t="inlineStr">
        <is>
          <t>VÄRNAMO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45873</v>
      </c>
      <c r="E370" s="1" t="n">
        <v>46299</v>
      </c>
      <c r="F370" t="inlineStr">
        <is>
          <t>JÖNKÖPINGS LÄN</t>
        </is>
      </c>
      <c r="G370" t="inlineStr">
        <is>
          <t>VÄRNAMO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42575-2022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44831</v>
      </c>
      <c r="E371" s="1" t="n">
        <v>46299</v>
      </c>
      <c r="F371" t="inlineStr">
        <is>
          <t>JÖNKÖPINGS LÄN</t>
        </is>
      </c>
      <c r="G371" t="inlineStr">
        <is>
          <t>VÄRNAMO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7727-2022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44608</v>
      </c>
      <c r="E372" s="1" t="n">
        <v>46299</v>
      </c>
      <c r="F372" t="inlineStr">
        <is>
          <t>JÖNKÖPINGS LÄN</t>
        </is>
      </c>
      <c r="G372" t="inlineStr">
        <is>
          <t>VÄRNAMO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45718</v>
      </c>
      <c r="E373" s="1" t="n">
        <v>46299</v>
      </c>
      <c r="F373" t="inlineStr">
        <is>
          <t>JÖNKÖPINGS LÄN</t>
        </is>
      </c>
      <c r="G373" t="inlineStr">
        <is>
          <t>VÄRNAMO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22296-2024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45446</v>
      </c>
      <c r="E374" s="1" t="n">
        <v>46299</v>
      </c>
      <c r="F374" t="inlineStr">
        <is>
          <t>JÖNKÖPINGS LÄN</t>
        </is>
      </c>
      <c r="G374" t="inlineStr">
        <is>
          <t>VÄRNAMO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8968-2024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45357</v>
      </c>
      <c r="E375" s="1" t="n">
        <v>46299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44642</v>
      </c>
      <c r="E376" s="1" t="n">
        <v>46299</v>
      </c>
      <c r="F376" t="inlineStr">
        <is>
          <t>JÖNKÖPINGS LÄN</t>
        </is>
      </c>
      <c r="G376" t="inlineStr">
        <is>
          <t>VÄRNAMO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46299</v>
      </c>
      <c r="F377" t="inlineStr">
        <is>
          <t>JÖNKÖPINGS LÄN</t>
        </is>
      </c>
      <c r="G377" t="inlineStr">
        <is>
          <t>VÄRNAMO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46160</v>
      </c>
      <c r="E378" s="1" t="n">
        <v>46299</v>
      </c>
      <c r="F378" t="inlineStr">
        <is>
          <t>JÖNKÖPINGS LÄN</t>
        </is>
      </c>
      <c r="G378" t="inlineStr">
        <is>
          <t>VÄRNAMO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46299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46299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45496</v>
      </c>
      <c r="E381" s="1" t="n">
        <v>46299</v>
      </c>
      <c r="F381" t="inlineStr">
        <is>
          <t>JÖNKÖPINGS LÄN</t>
        </is>
      </c>
      <c r="G381" t="inlineStr">
        <is>
          <t>VÄRNAMO</t>
        </is>
      </c>
      <c r="H381" t="inlineStr">
        <is>
          <t>Kommuner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46299</v>
      </c>
      <c r="F382" t="inlineStr">
        <is>
          <t>JÖNKÖPINGS LÄN</t>
        </is>
      </c>
      <c r="G382" t="inlineStr">
        <is>
          <t>VÄRNAMO</t>
        </is>
      </c>
      <c r="I382" t="n">
        <v>14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46299</v>
      </c>
      <c r="F383" t="inlineStr">
        <is>
          <t>JÖNKÖPINGS LÄN</t>
        </is>
      </c>
      <c r="G383" t="inlineStr">
        <is>
          <t>VÄRNAMO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46299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44985</v>
      </c>
      <c r="E385" s="1" t="n">
        <v>46299</v>
      </c>
      <c r="F385" t="inlineStr">
        <is>
          <t>JÖNKÖPINGS LÄN</t>
        </is>
      </c>
      <c r="G385" t="inlineStr">
        <is>
          <t>VÄRNAMO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45021</v>
      </c>
      <c r="E386" s="1" t="n">
        <v>46299</v>
      </c>
      <c r="F386" t="inlineStr">
        <is>
          <t>JÖNKÖPINGS LÄN</t>
        </is>
      </c>
      <c r="G386" t="inlineStr">
        <is>
          <t>VÄRNAMO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45401</v>
      </c>
      <c r="E387" s="1" t="n">
        <v>46299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46299</v>
      </c>
      <c r="F388" t="inlineStr">
        <is>
          <t>JÖNKÖPINGS LÄN</t>
        </is>
      </c>
      <c r="G388" t="inlineStr">
        <is>
          <t>VÄRNAMO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74102-2021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44557</v>
      </c>
      <c r="E389" s="1" t="n">
        <v>46299</v>
      </c>
      <c r="F389" t="inlineStr">
        <is>
          <t>JÖNKÖPINGS LÄN</t>
        </is>
      </c>
      <c r="G389" t="inlineStr">
        <is>
          <t>VÄRNAMO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46299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63915-2023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45278</v>
      </c>
      <c r="E391" s="1" t="n">
        <v>46299</v>
      </c>
      <c r="F391" t="inlineStr">
        <is>
          <t>JÖNKÖPINGS LÄN</t>
        </is>
      </c>
      <c r="G391" t="inlineStr">
        <is>
          <t>VÄRNAMO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46299</v>
      </c>
      <c r="F392" t="inlineStr">
        <is>
          <t>JÖNKÖPINGS LÄN</t>
        </is>
      </c>
      <c r="G392" t="inlineStr">
        <is>
          <t>VÄRNAMO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24032-2026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46299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71233-2021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46299</v>
      </c>
      <c r="F394" t="inlineStr">
        <is>
          <t>JÖNKÖPINGS LÄN</t>
        </is>
      </c>
      <c r="G394" t="inlineStr">
        <is>
          <t>VÄRNAMO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46299</v>
      </c>
      <c r="F395" t="inlineStr">
        <is>
          <t>JÖNKÖPINGS LÄN</t>
        </is>
      </c>
      <c r="G395" t="inlineStr">
        <is>
          <t>VÄRNAMO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37899-2023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45160</v>
      </c>
      <c r="E396" s="1" t="n">
        <v>46299</v>
      </c>
      <c r="F396" t="inlineStr">
        <is>
          <t>JÖNKÖPINGS LÄN</t>
        </is>
      </c>
      <c r="G396" t="inlineStr">
        <is>
          <t>VÄRNAMO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46299</v>
      </c>
      <c r="F397" t="inlineStr">
        <is>
          <t>JÖNKÖPINGS LÄN</t>
        </is>
      </c>
      <c r="G397" t="inlineStr">
        <is>
          <t>VÄRNAMO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46172</v>
      </c>
      <c r="E398" s="1" t="n">
        <v>46299</v>
      </c>
      <c r="F398" t="inlineStr">
        <is>
          <t>JÖNKÖPINGS LÄN</t>
        </is>
      </c>
      <c r="G398" t="inlineStr">
        <is>
          <t>VÄRNAMO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44928</v>
      </c>
      <c r="E399" s="1" t="n">
        <v>46299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51893-2024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46299</v>
      </c>
      <c r="F400" t="inlineStr">
        <is>
          <t>JÖNKÖPINGS LÄN</t>
        </is>
      </c>
      <c r="G400" t="inlineStr">
        <is>
          <t>VÄRNAMO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46299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45576</v>
      </c>
      <c r="E402" s="1" t="n">
        <v>46299</v>
      </c>
      <c r="F402" t="inlineStr">
        <is>
          <t>JÖNKÖPINGS LÄN</t>
        </is>
      </c>
      <c r="G402" t="inlineStr">
        <is>
          <t>VÄRNAMO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46177</v>
      </c>
      <c r="E403" s="1" t="n">
        <v>46299</v>
      </c>
      <c r="F403" t="inlineStr">
        <is>
          <t>JÖNKÖPINGS LÄN</t>
        </is>
      </c>
      <c r="G403" t="inlineStr">
        <is>
          <t>VÄRNAMO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46299</v>
      </c>
      <c r="F404" t="inlineStr">
        <is>
          <t>JÖNKÖPINGS LÄN</t>
        </is>
      </c>
      <c r="G404" t="inlineStr">
        <is>
          <t>VÄRNAMO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46299</v>
      </c>
      <c r="F405" t="inlineStr">
        <is>
          <t>JÖNKÖPINGS LÄN</t>
        </is>
      </c>
      <c r="G405" t="inlineStr">
        <is>
          <t>VÄRNAMO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55606-2024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45622</v>
      </c>
      <c r="E406" s="1" t="n">
        <v>46299</v>
      </c>
      <c r="F406" t="inlineStr">
        <is>
          <t>JÖNKÖPINGS LÄN</t>
        </is>
      </c>
      <c r="G406" t="inlineStr">
        <is>
          <t>VÄRNAMO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46299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46863-2023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45200</v>
      </c>
      <c r="E408" s="1" t="n">
        <v>46299</v>
      </c>
      <c r="F408" t="inlineStr">
        <is>
          <t>JÖNKÖPINGS LÄN</t>
        </is>
      </c>
      <c r="G408" t="inlineStr">
        <is>
          <t>VÄRNAMO</t>
        </is>
      </c>
      <c r="H408" t="inlineStr">
        <is>
          <t>Övriga Aktiebolag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29459-2023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45106</v>
      </c>
      <c r="E409" s="1" t="n">
        <v>46299</v>
      </c>
      <c r="F409" t="inlineStr">
        <is>
          <t>JÖNKÖPINGS LÄN</t>
        </is>
      </c>
      <c r="G409" t="inlineStr">
        <is>
          <t>VÄRNAMO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18434-2022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44686</v>
      </c>
      <c r="E410" s="1" t="n">
        <v>46299</v>
      </c>
      <c r="F410" t="inlineStr">
        <is>
          <t>JÖNKÖPINGS LÄN</t>
        </is>
      </c>
      <c r="G410" t="inlineStr">
        <is>
          <t>VÄRNAMO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46299</v>
      </c>
      <c r="F411" t="inlineStr">
        <is>
          <t>JÖNKÖPINGS LÄN</t>
        </is>
      </c>
      <c r="G411" t="inlineStr">
        <is>
          <t>VÄRNAMO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46299</v>
      </c>
      <c r="F412" t="inlineStr">
        <is>
          <t>JÖNKÖPINGS LÄN</t>
        </is>
      </c>
      <c r="G412" t="inlineStr">
        <is>
          <t>VÄRNAMO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44942</v>
      </c>
      <c r="E413" s="1" t="n">
        <v>46299</v>
      </c>
      <c r="F413" t="inlineStr">
        <is>
          <t>JÖNKÖPINGS LÄN</t>
        </is>
      </c>
      <c r="G413" t="inlineStr">
        <is>
          <t>VÄRNAMO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46299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45274</v>
      </c>
      <c r="E415" s="1" t="n">
        <v>46299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46299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26930-2026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46185</v>
      </c>
      <c r="E417" s="1" t="n">
        <v>46299</v>
      </c>
      <c r="F417" t="inlineStr">
        <is>
          <t>JÖNKÖPINGS LÄN</t>
        </is>
      </c>
      <c r="G417" t="inlineStr">
        <is>
          <t>VÄRNAMO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27153-2026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46188</v>
      </c>
      <c r="E418" s="1" t="n">
        <v>46299</v>
      </c>
      <c r="F418" t="inlineStr">
        <is>
          <t>JÖNKÖPINGS LÄN</t>
        </is>
      </c>
      <c r="G418" t="inlineStr">
        <is>
          <t>VÄRNAMO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46299</v>
      </c>
      <c r="F419" t="inlineStr">
        <is>
          <t>JÖNKÖPINGS LÄN</t>
        </is>
      </c>
      <c r="G419" t="inlineStr">
        <is>
          <t>VÄRNAMO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46299</v>
      </c>
      <c r="F420" t="inlineStr">
        <is>
          <t>JÖNKÖPINGS LÄN</t>
        </is>
      </c>
      <c r="G420" t="inlineStr">
        <is>
          <t>VÄRNAMO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46299</v>
      </c>
      <c r="F421" t="inlineStr">
        <is>
          <t>JÖNKÖPINGS LÄN</t>
        </is>
      </c>
      <c r="G421" t="inlineStr">
        <is>
          <t>VÄRNAMO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46299</v>
      </c>
      <c r="F422" t="inlineStr">
        <is>
          <t>JÖNKÖPINGS LÄN</t>
        </is>
      </c>
      <c r="G422" t="inlineStr">
        <is>
          <t>VÄRNAMO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35120-2022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44797</v>
      </c>
      <c r="E423" s="1" t="n">
        <v>46299</v>
      </c>
      <c r="F423" t="inlineStr">
        <is>
          <t>JÖNKÖPINGS LÄN</t>
        </is>
      </c>
      <c r="G423" t="inlineStr">
        <is>
          <t>VÄRNAMO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45302</v>
      </c>
      <c r="E424" s="1" t="n">
        <v>46299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46299</v>
      </c>
      <c r="F425" t="inlineStr">
        <is>
          <t>JÖNKÖPINGS LÄN</t>
        </is>
      </c>
      <c r="G425" t="inlineStr">
        <is>
          <t>VÄRNAMO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48040-2024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45589</v>
      </c>
      <c r="E426" s="1" t="n">
        <v>46299</v>
      </c>
      <c r="F426" t="inlineStr">
        <is>
          <t>JÖNKÖPINGS LÄN</t>
        </is>
      </c>
      <c r="G426" t="inlineStr">
        <is>
          <t>VÄRNAMO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46299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46299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27713-2026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46299</v>
      </c>
      <c r="F429" t="inlineStr">
        <is>
          <t>JÖNKÖPINGS LÄN</t>
        </is>
      </c>
      <c r="G429" t="inlineStr">
        <is>
          <t>VÄRNAMO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46299</v>
      </c>
      <c r="F430" t="inlineStr">
        <is>
          <t>JÖNKÖPINGS LÄN</t>
        </is>
      </c>
      <c r="G430" t="inlineStr">
        <is>
          <t>VÄRNAMO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46193</v>
      </c>
      <c r="E431" s="1" t="n">
        <v>46299</v>
      </c>
      <c r="F431" t="inlineStr">
        <is>
          <t>JÖNKÖPINGS LÄN</t>
        </is>
      </c>
      <c r="G431" t="inlineStr">
        <is>
          <t>VÄRNAMO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46299</v>
      </c>
      <c r="F432" t="inlineStr">
        <is>
          <t>JÖNKÖPINGS LÄN</t>
        </is>
      </c>
      <c r="G432" t="inlineStr">
        <is>
          <t>VÄRNAMO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46299</v>
      </c>
      <c r="F433" t="inlineStr">
        <is>
          <t>JÖNKÖPINGS LÄN</t>
        </is>
      </c>
      <c r="G433" t="inlineStr">
        <is>
          <t>VÄRNAMO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46191</v>
      </c>
      <c r="E434" s="1" t="n">
        <v>46299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46299</v>
      </c>
      <c r="F435" t="inlineStr">
        <is>
          <t>JÖNKÖPINGS LÄN</t>
        </is>
      </c>
      <c r="G435" t="inlineStr">
        <is>
          <t>VÄRNAMO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46299</v>
      </c>
      <c r="F436" t="inlineStr">
        <is>
          <t>JÖNKÖPINGS LÄN</t>
        </is>
      </c>
      <c r="G436" t="inlineStr">
        <is>
          <t>VÄRNAMO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46299</v>
      </c>
      <c r="F437" t="inlineStr">
        <is>
          <t>JÖNKÖPINGS LÄN</t>
        </is>
      </c>
      <c r="G437" t="inlineStr">
        <is>
          <t>VÄRNAMO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45505</v>
      </c>
      <c r="E438" s="1" t="n">
        <v>46299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46299</v>
      </c>
      <c r="F439" t="inlineStr">
        <is>
          <t>JÖNKÖPINGS LÄN</t>
        </is>
      </c>
      <c r="G439" t="inlineStr">
        <is>
          <t>VÄRNAMO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46299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46299</v>
      </c>
      <c r="F441" t="inlineStr">
        <is>
          <t>JÖNKÖPINGS LÄN</t>
        </is>
      </c>
      <c r="G441" t="inlineStr">
        <is>
          <t>VÄRNAMO</t>
        </is>
      </c>
      <c r="H441" t="inlineStr">
        <is>
          <t>Sveaskog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46299</v>
      </c>
      <c r="F442" t="inlineStr">
        <is>
          <t>JÖNKÖPINGS LÄN</t>
        </is>
      </c>
      <c r="G442" t="inlineStr">
        <is>
          <t>VÄRNAMO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46299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46299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28015-2026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46299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46299</v>
      </c>
      <c r="F446" t="inlineStr">
        <is>
          <t>JÖNKÖPINGS LÄN</t>
        </is>
      </c>
      <c r="G446" t="inlineStr">
        <is>
          <t>VÄRNAMO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46299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45264</v>
      </c>
      <c r="E448" s="1" t="n">
        <v>46299</v>
      </c>
      <c r="F448" t="inlineStr">
        <is>
          <t>JÖNKÖPINGS LÄN</t>
        </is>
      </c>
      <c r="G448" t="inlineStr">
        <is>
          <t>VÄRNAMO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45007</v>
      </c>
      <c r="E449" s="1" t="n">
        <v>46299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46299</v>
      </c>
      <c r="F450" t="inlineStr">
        <is>
          <t>JÖNKÖPINGS LÄN</t>
        </is>
      </c>
      <c r="G450" t="inlineStr">
        <is>
          <t>VÄRNAMO</t>
        </is>
      </c>
      <c r="H450" t="inlineStr">
        <is>
          <t>Sveaskog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46299</v>
      </c>
      <c r="F451" t="inlineStr">
        <is>
          <t>JÖNKÖPINGS LÄN</t>
        </is>
      </c>
      <c r="G451" t="inlineStr">
        <is>
          <t>VÄRNAMO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45443</v>
      </c>
      <c r="E452" s="1" t="n">
        <v>46299</v>
      </c>
      <c r="F452" t="inlineStr">
        <is>
          <t>JÖNKÖPINGS LÄN</t>
        </is>
      </c>
      <c r="G452" t="inlineStr">
        <is>
          <t>VÄRNAMO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46299</v>
      </c>
      <c r="F453" t="inlineStr">
        <is>
          <t>JÖNKÖPINGS LÄN</t>
        </is>
      </c>
      <c r="G453" t="inlineStr">
        <is>
          <t>VÄRNAMO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45302</v>
      </c>
      <c r="E454" s="1" t="n">
        <v>46299</v>
      </c>
      <c r="F454" t="inlineStr">
        <is>
          <t>JÖNKÖPINGS LÄN</t>
        </is>
      </c>
      <c r="G454" t="inlineStr">
        <is>
          <t>VÄRNAMO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44652</v>
      </c>
      <c r="E455" s="1" t="n">
        <v>46299</v>
      </c>
      <c r="F455" t="inlineStr">
        <is>
          <t>JÖNKÖPINGS LÄN</t>
        </is>
      </c>
      <c r="G455" t="inlineStr">
        <is>
          <t>VÄRNAMO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46299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45271</v>
      </c>
      <c r="E457" s="1" t="n">
        <v>46299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45162</v>
      </c>
      <c r="E458" s="1" t="n">
        <v>46299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46299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46299</v>
      </c>
      <c r="F460" t="inlineStr">
        <is>
          <t>JÖNKÖPINGS LÄN</t>
        </is>
      </c>
      <c r="G460" t="inlineStr">
        <is>
          <t>VÄRNAMO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46299</v>
      </c>
      <c r="F461" t="inlineStr">
        <is>
          <t>JÖNKÖPINGS LÄN</t>
        </is>
      </c>
      <c r="G461" t="inlineStr">
        <is>
          <t>VÄRNAMO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46299</v>
      </c>
      <c r="F462" t="inlineStr">
        <is>
          <t>JÖNKÖPINGS LÄN</t>
        </is>
      </c>
      <c r="G462" t="inlineStr">
        <is>
          <t>VÄRNAMO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47921-2023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45204</v>
      </c>
      <c r="E463" s="1" t="n">
        <v>46299</v>
      </c>
      <c r="F463" t="inlineStr">
        <is>
          <t>JÖNKÖPINGS LÄN</t>
        </is>
      </c>
      <c r="G463" t="inlineStr">
        <is>
          <t>VÄRNAMO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45475</v>
      </c>
      <c r="E464" s="1" t="n">
        <v>46299</v>
      </c>
      <c r="F464" t="inlineStr">
        <is>
          <t>JÖNKÖPINGS LÄN</t>
        </is>
      </c>
      <c r="G464" t="inlineStr">
        <is>
          <t>VÄRNAMO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46299</v>
      </c>
      <c r="F465" t="inlineStr">
        <is>
          <t>JÖNKÖPINGS LÄN</t>
        </is>
      </c>
      <c r="G465" t="inlineStr">
        <is>
          <t>VÄRNAMO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46299</v>
      </c>
      <c r="F466" t="inlineStr">
        <is>
          <t>JÖNKÖPINGS LÄN</t>
        </is>
      </c>
      <c r="G466" t="inlineStr">
        <is>
          <t>VÄRNAMO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46299</v>
      </c>
      <c r="F467" t="inlineStr">
        <is>
          <t>JÖNKÖPINGS LÄN</t>
        </is>
      </c>
      <c r="G467" t="inlineStr">
        <is>
          <t>VÄRNAMO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46299</v>
      </c>
      <c r="F468" t="inlineStr">
        <is>
          <t>JÖNKÖPINGS LÄN</t>
        </is>
      </c>
      <c r="G468" t="inlineStr">
        <is>
          <t>VÄRNAMO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44994</v>
      </c>
      <c r="E469" s="1" t="n">
        <v>46299</v>
      </c>
      <c r="F469" t="inlineStr">
        <is>
          <t>JÖNKÖPINGS LÄN</t>
        </is>
      </c>
      <c r="G469" t="inlineStr">
        <is>
          <t>VÄRNAMO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46206</v>
      </c>
      <c r="E470" s="1" t="n">
        <v>46299</v>
      </c>
      <c r="F470" t="inlineStr">
        <is>
          <t>JÖNKÖPINGS LÄN</t>
        </is>
      </c>
      <c r="G470" t="inlineStr">
        <is>
          <t>VÄRNAMO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46299</v>
      </c>
      <c r="F471" t="inlineStr">
        <is>
          <t>JÖNKÖPINGS LÄN</t>
        </is>
      </c>
      <c r="G471" t="inlineStr">
        <is>
          <t>VÄRNAMO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46299</v>
      </c>
      <c r="F472" t="inlineStr">
        <is>
          <t>JÖNKÖPINGS LÄN</t>
        </is>
      </c>
      <c r="G472" t="inlineStr">
        <is>
          <t>VÄRNAMO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46299</v>
      </c>
      <c r="F473" t="inlineStr">
        <is>
          <t>JÖNKÖPINGS LÄN</t>
        </is>
      </c>
      <c r="G473" t="inlineStr">
        <is>
          <t>VÄRNAMO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45509</v>
      </c>
      <c r="E474" s="1" t="n">
        <v>46299</v>
      </c>
      <c r="F474" t="inlineStr">
        <is>
          <t>JÖNKÖPINGS LÄN</t>
        </is>
      </c>
      <c r="G474" t="inlineStr">
        <is>
          <t>VÄRNAMO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46299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29162-2023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45105</v>
      </c>
      <c r="E476" s="1" t="n">
        <v>46299</v>
      </c>
      <c r="F476" t="inlineStr">
        <is>
          <t>JÖNKÖPINGS LÄN</t>
        </is>
      </c>
      <c r="G476" t="inlineStr">
        <is>
          <t>VÄRNAMO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29168-2023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45105</v>
      </c>
      <c r="E477" s="1" t="n">
        <v>46299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45631</v>
      </c>
      <c r="E478" s="1" t="n">
        <v>46299</v>
      </c>
      <c r="F478" t="inlineStr">
        <is>
          <t>JÖNKÖPINGS LÄN</t>
        </is>
      </c>
      <c r="G478" t="inlineStr">
        <is>
          <t>VÄRNAMO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14439-2023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45012</v>
      </c>
      <c r="E479" s="1" t="n">
        <v>46299</v>
      </c>
      <c r="F479" t="inlineStr">
        <is>
          <t>JÖNKÖPINGS LÄN</t>
        </is>
      </c>
      <c r="G479" t="inlineStr">
        <is>
          <t>VÄRNAMO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46299</v>
      </c>
      <c r="F480" t="inlineStr">
        <is>
          <t>JÖNKÖPINGS LÄN</t>
        </is>
      </c>
      <c r="G480" t="inlineStr">
        <is>
          <t>VÄRNAMO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46299</v>
      </c>
      <c r="F481" t="inlineStr">
        <is>
          <t>JÖNKÖPINGS LÄN</t>
        </is>
      </c>
      <c r="G481" t="inlineStr">
        <is>
          <t>VÄRNAMO</t>
        </is>
      </c>
      <c r="H481" t="inlineStr">
        <is>
          <t>Kommuner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46299</v>
      </c>
      <c r="F482" t="inlineStr">
        <is>
          <t>JÖNKÖPINGS LÄN</t>
        </is>
      </c>
      <c r="G482" t="inlineStr">
        <is>
          <t>VÄRNAMO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46299</v>
      </c>
      <c r="F483" t="inlineStr">
        <is>
          <t>JÖNKÖPINGS LÄN</t>
        </is>
      </c>
      <c r="G483" t="inlineStr">
        <is>
          <t>VÄRNAMO</t>
        </is>
      </c>
      <c r="H483" t="inlineStr">
        <is>
          <t>Kommuner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23922-2023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45078</v>
      </c>
      <c r="E484" s="1" t="n">
        <v>46299</v>
      </c>
      <c r="F484" t="inlineStr">
        <is>
          <t>JÖNKÖPINGS LÄN</t>
        </is>
      </c>
      <c r="G484" t="inlineStr">
        <is>
          <t>VÄRNAMO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46299</v>
      </c>
      <c r="F485" t="inlineStr">
        <is>
          <t>JÖNKÖPINGS LÄN</t>
        </is>
      </c>
      <c r="G485" t="inlineStr">
        <is>
          <t>VÄRNAMO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45357</v>
      </c>
      <c r="E486" s="1" t="n">
        <v>46299</v>
      </c>
      <c r="F486" t="inlineStr">
        <is>
          <t>JÖNKÖPINGS LÄN</t>
        </is>
      </c>
      <c r="G486" t="inlineStr">
        <is>
          <t>VÄRNAMO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46299</v>
      </c>
      <c r="F487" t="inlineStr">
        <is>
          <t>JÖNKÖPINGS LÄN</t>
        </is>
      </c>
      <c r="G487" t="inlineStr">
        <is>
          <t>VÄRNAMO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45824-2022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46299</v>
      </c>
      <c r="F488" t="inlineStr">
        <is>
          <t>JÖNKÖPINGS LÄN</t>
        </is>
      </c>
      <c r="G488" t="inlineStr">
        <is>
          <t>VÄRNAMO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33048-2024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45517</v>
      </c>
      <c r="E489" s="1" t="n">
        <v>46299</v>
      </c>
      <c r="F489" t="inlineStr">
        <is>
          <t>JÖNKÖPINGS LÄN</t>
        </is>
      </c>
      <c r="G489" t="inlineStr">
        <is>
          <t>VÄRNAMO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36259-2026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46268</v>
      </c>
      <c r="E490" s="1" t="n">
        <v>46299</v>
      </c>
      <c r="F490" t="inlineStr">
        <is>
          <t>JÖNKÖPINGS LÄN</t>
        </is>
      </c>
      <c r="G490" t="inlineStr">
        <is>
          <t>VÄRNAMO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45713</v>
      </c>
      <c r="E491" s="1" t="n">
        <v>46299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68171-2021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44526</v>
      </c>
      <c r="E492" s="1" t="n">
        <v>46299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11210-2024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45371</v>
      </c>
      <c r="E493" s="1" t="n">
        <v>46299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46230</v>
      </c>
      <c r="E494" s="1" t="n">
        <v>46299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55373-2023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46299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45160</v>
      </c>
      <c r="E496" s="1" t="n">
        <v>46299</v>
      </c>
      <c r="F496" t="inlineStr">
        <is>
          <t>JÖNKÖPINGS LÄN</t>
        </is>
      </c>
      <c r="G496" t="inlineStr">
        <is>
          <t>VÄRNAMO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51294-2023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45219</v>
      </c>
      <c r="E497" s="1" t="n">
        <v>46299</v>
      </c>
      <c r="F497" t="inlineStr">
        <is>
          <t>JÖNKÖPINGS LÄN</t>
        </is>
      </c>
      <c r="G497" t="inlineStr">
        <is>
          <t>VÄRNAMO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46230</v>
      </c>
      <c r="E498" s="1" t="n">
        <v>46299</v>
      </c>
      <c r="F498" t="inlineStr">
        <is>
          <t>JÖNKÖPINGS LÄN</t>
        </is>
      </c>
      <c r="G498" t="inlineStr">
        <is>
          <t>VÄRNAMO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46230</v>
      </c>
      <c r="E499" s="1" t="n">
        <v>46299</v>
      </c>
      <c r="F499" t="inlineStr">
        <is>
          <t>JÖNKÖPINGS LÄN</t>
        </is>
      </c>
      <c r="G499" t="inlineStr">
        <is>
          <t>VÄRNAMO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53533-2023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45223</v>
      </c>
      <c r="E500" s="1" t="n">
        <v>46299</v>
      </c>
      <c r="F500" t="inlineStr">
        <is>
          <t>JÖNKÖPINGS LÄN</t>
        </is>
      </c>
      <c r="G500" t="inlineStr">
        <is>
          <t>VÄRNAMO</t>
        </is>
      </c>
      <c r="H500" t="inlineStr">
        <is>
          <t>Kyrkan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52156-2023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45224</v>
      </c>
      <c r="E501" s="1" t="n">
        <v>46299</v>
      </c>
      <c r="F501" t="inlineStr">
        <is>
          <t>JÖNKÖPINGS LÄN</t>
        </is>
      </c>
      <c r="G501" t="inlineStr">
        <is>
          <t>VÄRNAMO</t>
        </is>
      </c>
      <c r="H501" t="inlineStr">
        <is>
          <t>Övriga Aktiebolag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46276</v>
      </c>
      <c r="E502" s="1" t="n">
        <v>46299</v>
      </c>
      <c r="F502" t="inlineStr">
        <is>
          <t>JÖNKÖPINGS LÄN</t>
        </is>
      </c>
      <c r="G502" t="inlineStr">
        <is>
          <t>VÄRNAMO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46279</v>
      </c>
      <c r="E503" s="1" t="n">
        <v>46299</v>
      </c>
      <c r="F503" t="inlineStr">
        <is>
          <t>JÖNKÖPINGS LÄN</t>
        </is>
      </c>
      <c r="G503" t="inlineStr">
        <is>
          <t>VÄRNAMO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46279</v>
      </c>
      <c r="E504" s="1" t="n">
        <v>46299</v>
      </c>
      <c r="F504" t="inlineStr">
        <is>
          <t>JÖNKÖPINGS LÄN</t>
        </is>
      </c>
      <c r="G504" t="inlineStr">
        <is>
          <t>VÄRNAMO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36613-2026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46299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46281</v>
      </c>
      <c r="E506" s="1" t="n">
        <v>46299</v>
      </c>
      <c r="F506" t="inlineStr">
        <is>
          <t>JÖNKÖPINGS LÄN</t>
        </is>
      </c>
      <c r="G506" t="inlineStr">
        <is>
          <t>VÄRNAMO</t>
        </is>
      </c>
      <c r="H506" t="inlineStr">
        <is>
          <t>Kommuner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46238</v>
      </c>
      <c r="E507" s="1" t="n">
        <v>46299</v>
      </c>
      <c r="F507" t="inlineStr">
        <is>
          <t>JÖNKÖPINGS LÄN</t>
        </is>
      </c>
      <c r="G507" t="inlineStr">
        <is>
          <t>VÄRNAMO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32413-2026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46238</v>
      </c>
      <c r="E508" s="1" t="n">
        <v>46299</v>
      </c>
      <c r="F508" t="inlineStr">
        <is>
          <t>JÖNKÖPINGS LÄN</t>
        </is>
      </c>
      <c r="G508" t="inlineStr">
        <is>
          <t>VÄRNAMO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61503-2021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44501</v>
      </c>
      <c r="E509" s="1" t="n">
        <v>46299</v>
      </c>
      <c r="F509" t="inlineStr">
        <is>
          <t>JÖNKÖPINGS LÄN</t>
        </is>
      </c>
      <c r="G509" t="inlineStr">
        <is>
          <t>VÄRNAMO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45114</v>
      </c>
      <c r="E510" s="1" t="n">
        <v>46299</v>
      </c>
      <c r="F510" t="inlineStr">
        <is>
          <t>JÖNKÖPINGS LÄN</t>
        </is>
      </c>
      <c r="G510" t="inlineStr">
        <is>
          <t>VÄRNAMO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45674</v>
      </c>
      <c r="E511" s="1" t="n">
        <v>46299</v>
      </c>
      <c r="F511" t="inlineStr">
        <is>
          <t>JÖNKÖPINGS LÄN</t>
        </is>
      </c>
      <c r="G511" t="inlineStr">
        <is>
          <t>VÄRNAMO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45674</v>
      </c>
      <c r="E512" s="1" t="n">
        <v>46299</v>
      </c>
      <c r="F512" t="inlineStr">
        <is>
          <t>JÖNKÖPINGS LÄN</t>
        </is>
      </c>
      <c r="G512" t="inlineStr">
        <is>
          <t>VÄRNAMO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46283</v>
      </c>
      <c r="E513" s="1" t="n">
        <v>46299</v>
      </c>
      <c r="F513" t="inlineStr">
        <is>
          <t>JÖNKÖPINGS LÄN</t>
        </is>
      </c>
      <c r="G513" t="inlineStr">
        <is>
          <t>VÄRNAMO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42366-2024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45563</v>
      </c>
      <c r="E514" s="1" t="n">
        <v>46299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44587</v>
      </c>
      <c r="E515" s="1" t="n">
        <v>46299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45243</v>
      </c>
      <c r="E516" s="1" t="n">
        <v>46299</v>
      </c>
      <c r="F516" t="inlineStr">
        <is>
          <t>JÖNKÖPINGS LÄN</t>
        </is>
      </c>
      <c r="G516" t="inlineStr">
        <is>
          <t>VÄRNAMO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45243</v>
      </c>
      <c r="E517" s="1" t="n">
        <v>46299</v>
      </c>
      <c r="F517" t="inlineStr">
        <is>
          <t>JÖNKÖPINGS LÄN</t>
        </is>
      </c>
      <c r="G517" t="inlineStr">
        <is>
          <t>VÄRNAMO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46299</v>
      </c>
      <c r="F518" t="inlineStr">
        <is>
          <t>JÖNKÖPINGS LÄN</t>
        </is>
      </c>
      <c r="G518" t="inlineStr">
        <is>
          <t>VÄRNAMO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46287</v>
      </c>
      <c r="E519" s="1" t="n">
        <v>46299</v>
      </c>
      <c r="F519" t="inlineStr">
        <is>
          <t>JÖNKÖPINGS LÄN</t>
        </is>
      </c>
      <c r="G519" t="inlineStr">
        <is>
          <t>VÄRNAMO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46299</v>
      </c>
      <c r="F520" t="inlineStr">
        <is>
          <t>JÖNKÖPINGS LÄN</t>
        </is>
      </c>
      <c r="G520" t="inlineStr">
        <is>
          <t>VÄRNAMO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74310-2021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44559</v>
      </c>
      <c r="E521" s="1" t="n">
        <v>46299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46282</v>
      </c>
      <c r="E522" s="1" t="n">
        <v>46299</v>
      </c>
      <c r="F522" t="inlineStr">
        <is>
          <t>JÖNKÖPINGS LÄN</t>
        </is>
      </c>
      <c r="G522" t="inlineStr">
        <is>
          <t>VÄRNAMO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46299</v>
      </c>
      <c r="F523" t="inlineStr">
        <is>
          <t>JÖNKÖPINGS LÄN</t>
        </is>
      </c>
      <c r="G523" t="inlineStr">
        <is>
          <t>VÄRNAMO</t>
        </is>
      </c>
      <c r="H523" t="inlineStr">
        <is>
          <t>Kyrkan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38834-2026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46299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46299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39604-2026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46289</v>
      </c>
      <c r="E526" s="1" t="n">
        <v>46299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39354-2026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46288</v>
      </c>
      <c r="E527" s="1" t="n">
        <v>46299</v>
      </c>
      <c r="F527" t="inlineStr">
        <is>
          <t>JÖNKÖPINGS LÄN</t>
        </is>
      </c>
      <c r="G527" t="inlineStr">
        <is>
          <t>VÄRNAMO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46288</v>
      </c>
      <c r="E528" s="1" t="n">
        <v>46299</v>
      </c>
      <c r="F528" t="inlineStr">
        <is>
          <t>JÖNKÖPINGS LÄN</t>
        </is>
      </c>
      <c r="G528" t="inlineStr">
        <is>
          <t>VÄRNAMO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39374-2026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46288</v>
      </c>
      <c r="E529" s="1" t="n">
        <v>46299</v>
      </c>
      <c r="F529" t="inlineStr">
        <is>
          <t>JÖNKÖPINGS LÄN</t>
        </is>
      </c>
      <c r="G529" t="inlineStr">
        <is>
          <t>VÄRNAMO</t>
        </is>
      </c>
      <c r="H529" t="inlineStr">
        <is>
          <t>Kommuner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39383-2026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46288</v>
      </c>
      <c r="E530" s="1" t="n">
        <v>46299</v>
      </c>
      <c r="F530" t="inlineStr">
        <is>
          <t>JÖNKÖPINGS LÄN</t>
        </is>
      </c>
      <c r="G530" t="inlineStr">
        <is>
          <t>VÄRNAMO</t>
        </is>
      </c>
      <c r="H530" t="inlineStr">
        <is>
          <t>Kommuner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46867-2023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45200</v>
      </c>
      <c r="E531" s="1" t="n">
        <v>46299</v>
      </c>
      <c r="F531" t="inlineStr">
        <is>
          <t>JÖNKÖPINGS LÄN</t>
        </is>
      </c>
      <c r="G531" t="inlineStr">
        <is>
          <t>VÄRNAMO</t>
        </is>
      </c>
      <c r="H531" t="inlineStr">
        <is>
          <t>Övriga Aktiebolag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46288</v>
      </c>
      <c r="E532" s="1" t="n">
        <v>46299</v>
      </c>
      <c r="F532" t="inlineStr">
        <is>
          <t>JÖNKÖPINGS LÄN</t>
        </is>
      </c>
      <c r="G532" t="inlineStr">
        <is>
          <t>VÄRNAMO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39377-2026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46299</v>
      </c>
      <c r="F533" t="inlineStr">
        <is>
          <t>JÖNKÖPINGS LÄN</t>
        </is>
      </c>
      <c r="G533" t="inlineStr">
        <is>
          <t>VÄRNAMO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44820</v>
      </c>
      <c r="E534" s="1" t="n">
        <v>46299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44825</v>
      </c>
      <c r="E535" s="1" t="n">
        <v>46299</v>
      </c>
      <c r="F535" t="inlineStr">
        <is>
          <t>JÖNKÖPINGS LÄN</t>
        </is>
      </c>
      <c r="G535" t="inlineStr">
        <is>
          <t>VÄRNAMO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45170</v>
      </c>
      <c r="E536" s="1" t="n">
        <v>46299</v>
      </c>
      <c r="F536" t="inlineStr">
        <is>
          <t>JÖNKÖPINGS LÄN</t>
        </is>
      </c>
      <c r="G536" t="inlineStr">
        <is>
          <t>VÄRNAMO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46299</v>
      </c>
      <c r="F537" t="inlineStr">
        <is>
          <t>JÖNKÖPINGS LÄN</t>
        </is>
      </c>
      <c r="G537" t="inlineStr">
        <is>
          <t>VÄRNAMO</t>
        </is>
      </c>
      <c r="H537" t="inlineStr">
        <is>
          <t>Sveaskog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45258</v>
      </c>
      <c r="E538" s="1" t="n">
        <v>46299</v>
      </c>
      <c r="F538" t="inlineStr">
        <is>
          <t>JÖNKÖPINGS LÄN</t>
        </is>
      </c>
      <c r="G538" t="inlineStr">
        <is>
          <t>VÄRNAMO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46299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11428-2024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45372</v>
      </c>
      <c r="E540" s="1" t="n">
        <v>46299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46299</v>
      </c>
      <c r="F541" t="inlineStr">
        <is>
          <t>JÖNKÖPINGS LÄN</t>
        </is>
      </c>
      <c r="G541" t="inlineStr">
        <is>
          <t>VÄRNAMO</t>
        </is>
      </c>
      <c r="I541" t="n">
        <v>13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46007</v>
      </c>
      <c r="E542" s="1" t="n">
        <v>46299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45406</v>
      </c>
      <c r="E543" s="1" t="n">
        <v>46299</v>
      </c>
      <c r="F543" t="inlineStr">
        <is>
          <t>JÖNKÖPINGS LÄN</t>
        </is>
      </c>
      <c r="G543" t="inlineStr">
        <is>
          <t>VÄRNAMO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46080</v>
      </c>
      <c r="E544" s="1" t="n">
        <v>46299</v>
      </c>
      <c r="F544" t="inlineStr">
        <is>
          <t>JÖNKÖPINGS LÄN</t>
        </is>
      </c>
      <c r="G544" t="inlineStr">
        <is>
          <t>VÄRNAMO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46299</v>
      </c>
      <c r="F545" t="inlineStr">
        <is>
          <t>JÖNKÖPINGS LÄN</t>
        </is>
      </c>
      <c r="G545" t="inlineStr">
        <is>
          <t>VÄRNAMO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46299</v>
      </c>
      <c r="F546" t="inlineStr">
        <is>
          <t>JÖNKÖPINGS LÄN</t>
        </is>
      </c>
      <c r="G546" t="inlineStr">
        <is>
          <t>VÄRNAMO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63656-2023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45275</v>
      </c>
      <c r="E547" s="1" t="n">
        <v>46299</v>
      </c>
      <c r="F547" t="inlineStr">
        <is>
          <t>JÖNKÖPINGS LÄN</t>
        </is>
      </c>
      <c r="G547" t="inlineStr">
        <is>
          <t>VÄRNAMO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46299</v>
      </c>
      <c r="F548" t="inlineStr">
        <is>
          <t>JÖNKÖPINGS LÄN</t>
        </is>
      </c>
      <c r="G548" t="inlineStr">
        <is>
          <t>VÄRNAMO</t>
        </is>
      </c>
      <c r="I548" t="n">
        <v>11.7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33729-2026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46299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40264-2026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46299</v>
      </c>
      <c r="F550" t="inlineStr">
        <is>
          <t>JÖNKÖPINGS LÄN</t>
        </is>
      </c>
      <c r="G550" t="inlineStr">
        <is>
          <t>VÄRNAMO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46294</v>
      </c>
      <c r="E551" s="1" t="n">
        <v>46299</v>
      </c>
      <c r="F551" t="inlineStr">
        <is>
          <t>JÖNKÖPINGS LÄN</t>
        </is>
      </c>
      <c r="G551" t="inlineStr">
        <is>
          <t>VÄRNAMO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46299</v>
      </c>
      <c r="F552" t="inlineStr">
        <is>
          <t>JÖNKÖPINGS LÄN</t>
        </is>
      </c>
      <c r="G552" t="inlineStr">
        <is>
          <t>VÄRNAMO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45444-2023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45194</v>
      </c>
      <c r="E553" s="1" t="n">
        <v>46299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25102-2022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44729</v>
      </c>
      <c r="E554" s="1" t="n">
        <v>46299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44949</v>
      </c>
      <c r="E555" s="1" t="n">
        <v>46299</v>
      </c>
      <c r="F555" t="inlineStr">
        <is>
          <t>JÖNKÖPINGS LÄN</t>
        </is>
      </c>
      <c r="G555" t="inlineStr">
        <is>
          <t>VÄRNAMO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62573-2023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45270</v>
      </c>
      <c r="E556" s="1" t="n">
        <v>46299</v>
      </c>
      <c r="F556" t="inlineStr">
        <is>
          <t>JÖNKÖPINGS LÄN</t>
        </is>
      </c>
      <c r="G556" t="inlineStr">
        <is>
          <t>VÄRNAMO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56272-2022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44890</v>
      </c>
      <c r="E557" s="1" t="n">
        <v>46299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46299</v>
      </c>
      <c r="F558" t="inlineStr">
        <is>
          <t>JÖNKÖPINGS LÄN</t>
        </is>
      </c>
      <c r="G558" t="inlineStr">
        <is>
          <t>VÄRNAMO</t>
        </is>
      </c>
      <c r="H558" t="inlineStr">
        <is>
          <t>Kommuner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29166-2023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45105</v>
      </c>
      <c r="E559" s="1" t="n">
        <v>46299</v>
      </c>
      <c r="F559" t="inlineStr">
        <is>
          <t>JÖNKÖPINGS LÄN</t>
        </is>
      </c>
      <c r="G559" t="inlineStr">
        <is>
          <t>VÄRNAMO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46299</v>
      </c>
      <c r="F560" t="inlineStr">
        <is>
          <t>JÖNKÖPINGS LÄN</t>
        </is>
      </c>
      <c r="G560" t="inlineStr">
        <is>
          <t>VÄRNAMO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45674</v>
      </c>
      <c r="E561" s="1" t="n">
        <v>46299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45009</v>
      </c>
      <c r="E562" s="1" t="n">
        <v>46299</v>
      </c>
      <c r="F562" t="inlineStr">
        <is>
          <t>JÖNKÖPINGS LÄN</t>
        </is>
      </c>
      <c r="G562" t="inlineStr">
        <is>
          <t>VÄRNAMO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45688</v>
      </c>
      <c r="E563" s="1" t="n">
        <v>46299</v>
      </c>
      <c r="F563" t="inlineStr">
        <is>
          <t>JÖNKÖPINGS LÄN</t>
        </is>
      </c>
      <c r="G563" t="inlineStr">
        <is>
          <t>VÄRNAMO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40226-2024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45554</v>
      </c>
      <c r="E564" s="1" t="n">
        <v>46299</v>
      </c>
      <c r="F564" t="inlineStr">
        <is>
          <t>JÖNKÖPINGS LÄN</t>
        </is>
      </c>
      <c r="G564" t="inlineStr">
        <is>
          <t>VÄRNAMO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46299</v>
      </c>
      <c r="F565" t="inlineStr">
        <is>
          <t>JÖNKÖPINGS LÄN</t>
        </is>
      </c>
      <c r="G565" t="inlineStr">
        <is>
          <t>VÄRNAMO</t>
        </is>
      </c>
      <c r="I565" t="n">
        <v>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46299</v>
      </c>
      <c r="F566" t="inlineStr">
        <is>
          <t>JÖNKÖPINGS LÄN</t>
        </is>
      </c>
      <c r="G566" t="inlineStr">
        <is>
          <t>VÄRNAMO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46299</v>
      </c>
      <c r="F567" t="inlineStr">
        <is>
          <t>JÖNKÖPINGS LÄN</t>
        </is>
      </c>
      <c r="G567" t="inlineStr">
        <is>
          <t>VÄRNAMO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45547</v>
      </c>
      <c r="E568" s="1" t="n">
        <v>46299</v>
      </c>
      <c r="F568" t="inlineStr">
        <is>
          <t>JÖNKÖPINGS LÄN</t>
        </is>
      </c>
      <c r="G568" t="inlineStr">
        <is>
          <t>VÄRNAMO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46299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44949</v>
      </c>
      <c r="E570" s="1" t="n">
        <v>46299</v>
      </c>
      <c r="F570" t="inlineStr">
        <is>
          <t>JÖNKÖPINGS LÄN</t>
        </is>
      </c>
      <c r="G570" t="inlineStr">
        <is>
          <t>VÄRNAMO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34402-2026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46254</v>
      </c>
      <c r="E571" s="1" t="n">
        <v>46299</v>
      </c>
      <c r="F571" t="inlineStr">
        <is>
          <t>JÖNKÖPINGS LÄN</t>
        </is>
      </c>
      <c r="G571" t="inlineStr">
        <is>
          <t>VÄRNAMO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46299</v>
      </c>
      <c r="F572" t="inlineStr">
        <is>
          <t>JÖNKÖPINGS LÄN</t>
        </is>
      </c>
      <c r="G572" t="inlineStr">
        <is>
          <t>VÄRNAMO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40777-2024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45558</v>
      </c>
      <c r="E573" s="1" t="n">
        <v>46299</v>
      </c>
      <c r="F573" t="inlineStr">
        <is>
          <t>JÖNKÖPINGS LÄN</t>
        </is>
      </c>
      <c r="G573" t="inlineStr">
        <is>
          <t>VÄRNAMO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74026-2021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44553</v>
      </c>
      <c r="E574" s="1" t="n">
        <v>46299</v>
      </c>
      <c r="F574" t="inlineStr">
        <is>
          <t>JÖNKÖPINGS LÄN</t>
        </is>
      </c>
      <c r="G574" t="inlineStr">
        <is>
          <t>VÄRNAMO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74027-2021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44553</v>
      </c>
      <c r="E575" s="1" t="n">
        <v>46299</v>
      </c>
      <c r="F575" t="inlineStr">
        <is>
          <t>JÖNKÖPINGS LÄN</t>
        </is>
      </c>
      <c r="G575" t="inlineStr">
        <is>
          <t>VÄRNAMO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45701</v>
      </c>
      <c r="E576" s="1" t="n">
        <v>46299</v>
      </c>
      <c r="F576" t="inlineStr">
        <is>
          <t>JÖNKÖPINGS LÄN</t>
        </is>
      </c>
      <c r="G576" t="inlineStr">
        <is>
          <t>VÄRNAMO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40944-2026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46297</v>
      </c>
      <c r="E577" s="1" t="n">
        <v>46299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40843-2026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46296</v>
      </c>
      <c r="E578" s="1" t="n">
        <v>46299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45393</v>
      </c>
      <c r="E579" s="1" t="n">
        <v>46299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41316-2023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46299</v>
      </c>
      <c r="F580" t="inlineStr">
        <is>
          <t>JÖNKÖPINGS LÄN</t>
        </is>
      </c>
      <c r="G580" t="inlineStr">
        <is>
          <t>VÄRNAMO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46299</v>
      </c>
      <c r="F581" t="inlineStr">
        <is>
          <t>JÖNKÖPINGS LÄN</t>
        </is>
      </c>
      <c r="G581" t="inlineStr">
        <is>
          <t>VÄRNAMO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45343</v>
      </c>
      <c r="E582" s="1" t="n">
        <v>46299</v>
      </c>
      <c r="F582" t="inlineStr">
        <is>
          <t>JÖNKÖPINGS LÄN</t>
        </is>
      </c>
      <c r="G582" t="inlineStr">
        <is>
          <t>VÄRNAMO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44051-2023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46299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39656-2023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45167</v>
      </c>
      <c r="E584" s="1" t="n">
        <v>46299</v>
      </c>
      <c r="F584" t="inlineStr">
        <is>
          <t>JÖNKÖPINGS LÄN</t>
        </is>
      </c>
      <c r="G584" t="inlineStr">
        <is>
          <t>VÄRNAMO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42830-2024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45566</v>
      </c>
      <c r="E585" s="1" t="n">
        <v>46299</v>
      </c>
      <c r="F585" t="inlineStr">
        <is>
          <t>JÖNKÖPINGS LÄN</t>
        </is>
      </c>
      <c r="G585" t="inlineStr">
        <is>
          <t>VÄRNAMO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36729-2022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44805</v>
      </c>
      <c r="E586" s="1" t="n">
        <v>46299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20199-2022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44698</v>
      </c>
      <c r="E587" s="1" t="n">
        <v>46299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44936</v>
      </c>
      <c r="E588" s="1" t="n">
        <v>46299</v>
      </c>
      <c r="F588" t="inlineStr">
        <is>
          <t>JÖNKÖPINGS LÄN</t>
        </is>
      </c>
      <c r="G588" t="inlineStr">
        <is>
          <t>VÄRNAMO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18890-2023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45044</v>
      </c>
      <c r="E589" s="1" t="n">
        <v>46299</v>
      </c>
      <c r="F589" t="inlineStr">
        <is>
          <t>JÖNKÖPINGS LÄN</t>
        </is>
      </c>
      <c r="G589" t="inlineStr">
        <is>
          <t>VÄRNAMO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64002-2023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45278</v>
      </c>
      <c r="E590" s="1" t="n">
        <v>46299</v>
      </c>
      <c r="F590" t="inlineStr">
        <is>
          <t>JÖNKÖPINGS LÄN</t>
        </is>
      </c>
      <c r="G590" t="inlineStr">
        <is>
          <t>VÄRNAMO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51754-2024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46299</v>
      </c>
      <c r="F591" t="inlineStr">
        <is>
          <t>JÖNKÖPINGS LÄN</t>
        </is>
      </c>
      <c r="G591" t="inlineStr">
        <is>
          <t>VÄRNAMO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64048-2023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45279</v>
      </c>
      <c r="E592" s="1" t="n">
        <v>46299</v>
      </c>
      <c r="F592" t="inlineStr">
        <is>
          <t>JÖNKÖPINGS LÄN</t>
        </is>
      </c>
      <c r="G592" t="inlineStr">
        <is>
          <t>VÄRNAMO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44699</v>
      </c>
      <c r="E593" s="1" t="n">
        <v>46299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46468-2023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45197</v>
      </c>
      <c r="E594" s="1" t="n">
        <v>46299</v>
      </c>
      <c r="F594" t="inlineStr">
        <is>
          <t>JÖNKÖPINGS LÄN</t>
        </is>
      </c>
      <c r="G594" t="inlineStr">
        <is>
          <t>VÄRNAMO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46471-2023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45197</v>
      </c>
      <c r="E595" s="1" t="n">
        <v>46299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35359-2023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46299</v>
      </c>
      <c r="F596" t="inlineStr">
        <is>
          <t>JÖNKÖPINGS LÄN</t>
        </is>
      </c>
      <c r="G596" t="inlineStr">
        <is>
          <t>VÄRNAMO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62798-2023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45271</v>
      </c>
      <c r="E597" s="1" t="n">
        <v>46299</v>
      </c>
      <c r="F597" t="inlineStr">
        <is>
          <t>JÖNKÖPINGS LÄN</t>
        </is>
      </c>
      <c r="G597" t="inlineStr">
        <is>
          <t>VÄRNAMO</t>
        </is>
      </c>
      <c r="H597" t="inlineStr">
        <is>
          <t>Kommuner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45265</v>
      </c>
      <c r="E598" s="1" t="n">
        <v>46299</v>
      </c>
      <c r="F598" t="inlineStr">
        <is>
          <t>JÖNKÖPINGS LÄN</t>
        </is>
      </c>
      <c r="G598" t="inlineStr">
        <is>
          <t>VÄRNAMO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44998</v>
      </c>
      <c r="E599" s="1" t="n">
        <v>46299</v>
      </c>
      <c r="F599" t="inlineStr">
        <is>
          <t>JÖNKÖPINGS LÄN</t>
        </is>
      </c>
      <c r="G599" t="inlineStr">
        <is>
          <t>VÄRNAMO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12305-2023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44998</v>
      </c>
      <c r="E600" s="1" t="n">
        <v>46299</v>
      </c>
      <c r="F600" t="inlineStr">
        <is>
          <t>JÖNKÖPINGS LÄN</t>
        </is>
      </c>
      <c r="G600" t="inlineStr">
        <is>
          <t>VÄRNAMO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17464-2023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45036</v>
      </c>
      <c r="E601" s="1" t="n">
        <v>46299</v>
      </c>
      <c r="F601" t="inlineStr">
        <is>
          <t>JÖNKÖPINGS LÄN</t>
        </is>
      </c>
      <c r="G601" t="inlineStr">
        <is>
          <t>VÄRNAMO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17678-2023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45037</v>
      </c>
      <c r="E602" s="1" t="n">
        <v>46299</v>
      </c>
      <c r="F602" t="inlineStr">
        <is>
          <t>JÖNKÖPINGS LÄN</t>
        </is>
      </c>
      <c r="G602" t="inlineStr">
        <is>
          <t>VÄRNAMO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21104-2025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46299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48186-2024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45589</v>
      </c>
      <c r="E604" s="1" t="n">
        <v>46299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45468</v>
      </c>
      <c r="E605" s="1" t="n">
        <v>46299</v>
      </c>
      <c r="F605" t="inlineStr">
        <is>
          <t>JÖNKÖPINGS LÄN</t>
        </is>
      </c>
      <c r="G605" t="inlineStr">
        <is>
          <t>VÄRNAMO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45428</v>
      </c>
      <c r="E606" s="1" t="n">
        <v>46299</v>
      </c>
      <c r="F606" t="inlineStr">
        <is>
          <t>JÖNKÖPINGS LÄN</t>
        </is>
      </c>
      <c r="G606" t="inlineStr">
        <is>
          <t>VÄRNAMO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46299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3709-2021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44379</v>
      </c>
      <c r="E608" s="1" t="n">
        <v>46299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3199-2023</t>
        </is>
      </c>
      <c r="B609" t="inlineStr">
        <is>
          <t>samrådsanmälan</t>
        </is>
      </c>
      <c r="C609" t="inlineStr">
        <is>
          <t>Dikesrensning</t>
        </is>
      </c>
      <c r="D609" s="1" t="n">
        <v>45194</v>
      </c>
      <c r="E609" s="1" t="n">
        <v>46299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1595-2024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45427</v>
      </c>
      <c r="E610" s="1" t="n">
        <v>46299</v>
      </c>
      <c r="F610" t="inlineStr">
        <is>
          <t>JÖNKÖPINGS LÄN</t>
        </is>
      </c>
      <c r="G610" t="inlineStr">
        <is>
          <t>VÄRNAMO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1451-2024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45418</v>
      </c>
      <c r="E611" s="1" t="n">
        <v>46299</v>
      </c>
      <c r="F611" t="inlineStr">
        <is>
          <t>JÖNKÖPINGS LÄN</t>
        </is>
      </c>
      <c r="G611" t="inlineStr">
        <is>
          <t>VÄRNAMO</t>
        </is>
      </c>
      <c r="I611" t="n">
        <v>29.6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2455-2023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45117</v>
      </c>
      <c r="E612" s="1" t="n">
        <v>46299</v>
      </c>
      <c r="F612" t="inlineStr">
        <is>
          <t>JÖNKÖPINGS LÄN</t>
        </is>
      </c>
      <c r="G612" t="inlineStr">
        <is>
          <t>VÄRNAMO</t>
        </is>
      </c>
      <c r="H612" t="inlineStr">
        <is>
          <t>Övriga Aktiebolag</t>
        </is>
      </c>
      <c r="I612" t="n">
        <v>49.1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793-2023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46299</v>
      </c>
      <c r="F613" t="inlineStr">
        <is>
          <t>JÖNKÖPINGS LÄN</t>
        </is>
      </c>
      <c r="G613" t="inlineStr">
        <is>
          <t>VÄRNAMO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2484-2023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45119</v>
      </c>
      <c r="E614" s="1" t="n">
        <v>46299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1553-2024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45425</v>
      </c>
      <c r="E615" s="1" t="n">
        <v>46299</v>
      </c>
      <c r="F615" t="inlineStr">
        <is>
          <t>JÖNKÖPINGS LÄN</t>
        </is>
      </c>
      <c r="G615" t="inlineStr">
        <is>
          <t>VÄRNAMO</t>
        </is>
      </c>
      <c r="I615" t="n">
        <v>30.6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9360-2021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44519</v>
      </c>
      <c r="E616" s="1" t="n">
        <v>46299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1855-2024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45440</v>
      </c>
      <c r="E617" s="1" t="n">
        <v>46299</v>
      </c>
      <c r="F617" t="inlineStr">
        <is>
          <t>JÖNKÖPINGS LÄN</t>
        </is>
      </c>
      <c r="G617" t="inlineStr">
        <is>
          <t>VÄRNAMO</t>
        </is>
      </c>
      <c r="I617" t="n">
        <v>24.8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4295-2024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45583</v>
      </c>
      <c r="E618" s="1" t="n">
        <v>46299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9347-2021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44519</v>
      </c>
      <c r="E619" s="1" t="n">
        <v>46299</v>
      </c>
      <c r="F619" t="inlineStr">
        <is>
          <t>JÖNKÖPINGS LÄN</t>
        </is>
      </c>
      <c r="G619" t="inlineStr">
        <is>
          <t>VÄRNAMO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2486-2023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46299</v>
      </c>
      <c r="F620" t="inlineStr">
        <is>
          <t>JÖNKÖPINGS LÄN</t>
        </is>
      </c>
      <c r="G620" t="inlineStr">
        <is>
          <t>VÄRNAMO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2317-2023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45105</v>
      </c>
      <c r="E621" s="1" t="n">
        <v>46299</v>
      </c>
      <c r="F621" t="inlineStr">
        <is>
          <t>JÖNKÖPINGS LÄN</t>
        </is>
      </c>
      <c r="G621" t="inlineStr">
        <is>
          <t>VÄRNAMO</t>
        </is>
      </c>
      <c r="I621" t="n">
        <v>10.8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2512-2023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45122</v>
      </c>
      <c r="E622" s="1" t="n">
        <v>46299</v>
      </c>
      <c r="F622" t="inlineStr">
        <is>
          <t>JÖNKÖPINGS LÄN</t>
        </is>
      </c>
      <c r="G622" t="inlineStr">
        <is>
          <t>VÄRNAMO</t>
        </is>
      </c>
      <c r="I622" t="n">
        <v>63.2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7728-2021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44479</v>
      </c>
      <c r="E623" s="1" t="n">
        <v>46299</v>
      </c>
      <c r="F623" t="inlineStr">
        <is>
          <t>JÖNKÖPINGS LÄN</t>
        </is>
      </c>
      <c r="G623" t="inlineStr">
        <is>
          <t>VÄRNAMO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3557-2025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46299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46018</v>
      </c>
      <c r="E625" s="1" t="n">
        <v>46299</v>
      </c>
      <c r="F625" t="inlineStr">
        <is>
          <t>JÖNKÖPINGS LÄN</t>
        </is>
      </c>
      <c r="G625" t="inlineStr">
        <is>
          <t>VÄRNAMO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249-2026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46050</v>
      </c>
      <c r="E626" s="1" t="n">
        <v>46299</v>
      </c>
      <c r="F626" t="inlineStr">
        <is>
          <t>JÖNKÖPINGS LÄN</t>
        </is>
      </c>
      <c r="G626" t="inlineStr">
        <is>
          <t>VÄRNAMO</t>
        </is>
      </c>
      <c r="H626" t="inlineStr">
        <is>
          <t>Kommuner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239-2026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46052</v>
      </c>
      <c r="E627" s="1" t="n">
        <v>46299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2026-10-04T01:56:39Z</dcterms:created>
  <dcterms:modified xmlns:dcterms="http://purl.org/dc/terms/" xmlns:xsi="http://www.w3.org/2001/XMLSchema-instance" xsi:type="dcterms:W3CDTF">2026-10-04T01:56:40Z</dcterms:modified>
</cp:coreProperties>
</file>