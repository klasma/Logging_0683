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46196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1050-2026</t>
        </is>
      </c>
      <c r="B4" s="1" t="n">
        <v>46030</v>
      </c>
      <c r="C4" s="1" t="n">
        <v>46196</v>
      </c>
      <c r="D4" t="inlineStr">
        <is>
          <t>JÖNKÖPINGS LÄN</t>
        </is>
      </c>
      <c r="E4" t="inlineStr">
        <is>
          <t>VÄRNAMO</t>
        </is>
      </c>
      <c r="G4" t="n">
        <v>1.4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Gulpudrad spiklav
Rostfläck
Sotlav</t>
        </is>
      </c>
      <c r="S4">
        <f>HYPERLINK("https://klasma.github.io/Logging_0683/artfynd/A 1050-2026 artfynd.xlsx", "A 1050-2026")</f>
        <v/>
      </c>
      <c r="T4">
        <f>HYPERLINK("https://klasma.github.io/Logging_0683/kartor/A 1050-2026 karta.png", "A 1050-2026")</f>
        <v/>
      </c>
      <c r="V4">
        <f>HYPERLINK("https://klasma.github.io/Logging_0683/klagomål/A 1050-2026 FSC-klagomål.docx", "A 1050-2026")</f>
        <v/>
      </c>
      <c r="W4">
        <f>HYPERLINK("https://klasma.github.io/Logging_0683/klagomålsmail/A 1050-2026 FSC-klagomål mail.docx", "A 1050-2026")</f>
        <v/>
      </c>
      <c r="X4">
        <f>HYPERLINK("https://klasma.github.io/Logging_0683/tillsyn/A 1050-2026 tillsynsbegäran.docx", "A 1050-2026")</f>
        <v/>
      </c>
      <c r="Y4">
        <f>HYPERLINK("https://klasma.github.io/Logging_0683/tillsynsmail/A 1050-2026 tillsynsbegäran mail.docx", "A 1050-2026")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46196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Stor revmossa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46196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Hårginst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29356-2024</t>
        </is>
      </c>
      <c r="B7" s="1" t="n">
        <v>45483</v>
      </c>
      <c r="C7" s="1" t="n">
        <v>46196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Skaftslamkrypa
Grönpyrola
Vätteros</t>
        </is>
      </c>
      <c r="S7">
        <f>HYPERLINK("https://klasma.github.io/Logging_0683/artfynd/A 29356-2024 artfynd.xlsx", "A 29356-2024")</f>
        <v/>
      </c>
      <c r="T7">
        <f>HYPERLINK("https://klasma.github.io/Logging_0683/kartor/A 29356-2024 karta.png", "A 29356-2024")</f>
        <v/>
      </c>
      <c r="V7">
        <f>HYPERLINK("https://klasma.github.io/Logging_0683/klagomål/A 29356-2024 FSC-klagomål.docx", "A 29356-2024")</f>
        <v/>
      </c>
      <c r="W7">
        <f>HYPERLINK("https://klasma.github.io/Logging_0683/klagomålsmail/A 29356-2024 FSC-klagomål mail.docx", "A 29356-2024")</f>
        <v/>
      </c>
      <c r="X7">
        <f>HYPERLINK("https://klasma.github.io/Logging_0683/tillsyn/A 29356-2024 tillsynsbegäran.docx", "A 29356-2024")</f>
        <v/>
      </c>
      <c r="Y7">
        <f>HYPERLINK("https://klasma.github.io/Logging_0683/tillsynsmail/A 29356-2024 tillsynsbegäran mail.docx", "A 29356-2024")</f>
        <v/>
      </c>
    </row>
    <row r="8" ht="15" customHeight="1">
      <c r="A8" t="inlineStr">
        <is>
          <t>A 49187-2023</t>
        </is>
      </c>
      <c r="B8" s="1" t="n">
        <v>45205</v>
      </c>
      <c r="C8" s="1" t="n">
        <v>46196</v>
      </c>
      <c r="D8" t="inlineStr">
        <is>
          <t>JÖNKÖPINGS LÄN</t>
        </is>
      </c>
      <c r="E8" t="inlineStr">
        <is>
          <t>VÄRNAMO</t>
        </is>
      </c>
      <c r="G8" t="n">
        <v>5.3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Gulpudrad spiklav</t>
        </is>
      </c>
      <c r="S8">
        <f>HYPERLINK("https://klasma.github.io/Logging_0683/artfynd/A 49187-2023 artfynd.xlsx", "A 49187-2023")</f>
        <v/>
      </c>
      <c r="T8">
        <f>HYPERLINK("https://klasma.github.io/Logging_0683/kartor/A 49187-2023 karta.png", "A 49187-2023")</f>
        <v/>
      </c>
      <c r="V8">
        <f>HYPERLINK("https://klasma.github.io/Logging_0683/klagomål/A 49187-2023 FSC-klagomål.docx", "A 49187-2023")</f>
        <v/>
      </c>
      <c r="W8">
        <f>HYPERLINK("https://klasma.github.io/Logging_0683/klagomålsmail/A 49187-2023 FSC-klagomål mail.docx", "A 49187-2023")</f>
        <v/>
      </c>
      <c r="X8">
        <f>HYPERLINK("https://klasma.github.io/Logging_0683/tillsyn/A 49187-2023 tillsynsbegäran.docx", "A 49187-2023")</f>
        <v/>
      </c>
      <c r="Y8">
        <f>HYPERLINK("https://klasma.github.io/Logging_0683/tillsynsmail/A 49187-2023 tillsynsbegäran mail.docx", "A 49187-2023")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46196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46196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46196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19078-2025</t>
        </is>
      </c>
      <c r="B12" s="1" t="n">
        <v>45766</v>
      </c>
      <c r="C12" s="1" t="n">
        <v>46196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48887-2023</t>
        </is>
      </c>
      <c r="B13" s="1" t="n">
        <v>45209</v>
      </c>
      <c r="C13" s="1" t="n">
        <v>46196</v>
      </c>
      <c r="D13" t="inlineStr">
        <is>
          <t>JÖNKÖPINGS LÄN</t>
        </is>
      </c>
      <c r="E13" t="inlineStr">
        <is>
          <t>VÄRNAMO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48887-2023 artfynd.xlsx", "A 48887-2023")</f>
        <v/>
      </c>
      <c r="T13">
        <f>HYPERLINK("https://klasma.github.io/Logging_0683/kartor/A 48887-2023 karta.png", "A 48887-2023")</f>
        <v/>
      </c>
      <c r="V13">
        <f>HYPERLINK("https://klasma.github.io/Logging_0683/klagomål/A 48887-2023 FSC-klagomål.docx", "A 48887-2023")</f>
        <v/>
      </c>
      <c r="W13">
        <f>HYPERLINK("https://klasma.github.io/Logging_0683/klagomålsmail/A 48887-2023 FSC-klagomål mail.docx", "A 48887-2023")</f>
        <v/>
      </c>
      <c r="X13">
        <f>HYPERLINK("https://klasma.github.io/Logging_0683/tillsyn/A 48887-2023 tillsynsbegäran.docx", "A 48887-2023")</f>
        <v/>
      </c>
      <c r="Y13">
        <f>HYPERLINK("https://klasma.github.io/Logging_0683/tillsynsmail/A 48887-2023 tillsynsbegäran mail.docx", "A 48887-2023")</f>
        <v/>
      </c>
    </row>
    <row r="14" ht="15" customHeight="1">
      <c r="A14" t="inlineStr">
        <is>
          <t>A 5761-2024</t>
        </is>
      </c>
      <c r="B14" s="1" t="n">
        <v>45335</v>
      </c>
      <c r="C14" s="1" t="n">
        <v>46196</v>
      </c>
      <c r="D14" t="inlineStr">
        <is>
          <t>JÖNKÖPINGS LÄN</t>
        </is>
      </c>
      <c r="E14" t="inlineStr">
        <is>
          <t>VÄRNAMO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HYPERLINK("https://klasma.github.io/Logging_0683/artfynd/A 5761-2024 artfynd.xlsx", "A 5761-2024")</f>
        <v/>
      </c>
      <c r="T14">
        <f>HYPERLINK("https://klasma.github.io/Logging_0683/kartor/A 5761-2024 karta.png", "A 5761-2024")</f>
        <v/>
      </c>
      <c r="V14">
        <f>HYPERLINK("https://klasma.github.io/Logging_0683/klagomål/A 5761-2024 FSC-klagomål.docx", "A 5761-2024")</f>
        <v/>
      </c>
      <c r="W14">
        <f>HYPERLINK("https://klasma.github.io/Logging_0683/klagomålsmail/A 5761-2024 FSC-klagomål mail.docx", "A 5761-2024")</f>
        <v/>
      </c>
      <c r="X14">
        <f>HYPERLINK("https://klasma.github.io/Logging_0683/tillsyn/A 5761-2024 tillsynsbegäran.docx", "A 5761-2024")</f>
        <v/>
      </c>
      <c r="Y14">
        <f>HYPERLINK("https://klasma.github.io/Logging_0683/tillsynsmail/A 5761-2024 tillsynsbegäran mail.docx", "A 5761-2024")</f>
        <v/>
      </c>
    </row>
    <row r="15" ht="15" customHeight="1">
      <c r="A15" t="inlineStr">
        <is>
          <t>A 33366-2025</t>
        </is>
      </c>
      <c r="B15" s="1" t="n">
        <v>45841</v>
      </c>
      <c r="C15" s="1" t="n">
        <v>46196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61264-2023</t>
        </is>
      </c>
      <c r="B16" s="1" t="n">
        <v>45264</v>
      </c>
      <c r="C16" s="1" t="n">
        <v>46196</v>
      </c>
      <c r="D16" t="inlineStr">
        <is>
          <t>JÖNKÖPINGS LÄN</t>
        </is>
      </c>
      <c r="E16" t="inlineStr">
        <is>
          <t>VÄRNAMO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Gullpudra</t>
        </is>
      </c>
      <c r="S16">
        <f>HYPERLINK("https://klasma.github.io/Logging_0683/artfynd/A 61264-2023 artfynd.xlsx", "A 61264-2023")</f>
        <v/>
      </c>
      <c r="T16">
        <f>HYPERLINK("https://klasma.github.io/Logging_0683/kartor/A 61264-2023 karta.png", "A 61264-2023")</f>
        <v/>
      </c>
      <c r="V16">
        <f>HYPERLINK("https://klasma.github.io/Logging_0683/klagomål/A 61264-2023 FSC-klagomål.docx", "A 61264-2023")</f>
        <v/>
      </c>
      <c r="W16">
        <f>HYPERLINK("https://klasma.github.io/Logging_0683/klagomålsmail/A 61264-2023 FSC-klagomål mail.docx", "A 61264-2023")</f>
        <v/>
      </c>
      <c r="X16">
        <f>HYPERLINK("https://klasma.github.io/Logging_0683/tillsyn/A 61264-2023 tillsynsbegäran.docx", "A 61264-2023")</f>
        <v/>
      </c>
      <c r="Y16">
        <f>HYPERLINK("https://klasma.github.io/Logging_0683/tillsynsmail/A 61264-2023 tillsynsbegäran mail.docx", "A 61264-2023")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46196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10842-2026</t>
        </is>
      </c>
      <c r="B18" s="1" t="n">
        <v>46078</v>
      </c>
      <c r="C18" s="1" t="n">
        <v>46196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HYPERLINK("https://klasma.github.io/Logging_0683/artfynd/A 10842-2026 artfynd.xlsx", "A 10842-2026")</f>
        <v/>
      </c>
      <c r="T18">
        <f>HYPERLINK("https://klasma.github.io/Logging_0683/kartor/A 10842-2026 karta.png", "A 10842-2026")</f>
        <v/>
      </c>
      <c r="V18">
        <f>HYPERLINK("https://klasma.github.io/Logging_0683/klagomål/A 10842-2026 FSC-klagomål.docx", "A 10842-2026")</f>
        <v/>
      </c>
      <c r="W18">
        <f>HYPERLINK("https://klasma.github.io/Logging_0683/klagomålsmail/A 10842-2026 FSC-klagomål mail.docx", "A 10842-2026")</f>
        <v/>
      </c>
      <c r="X18">
        <f>HYPERLINK("https://klasma.github.io/Logging_0683/tillsyn/A 10842-2026 tillsynsbegäran.docx", "A 10842-2026")</f>
        <v/>
      </c>
      <c r="Y18">
        <f>HYPERLINK("https://klasma.github.io/Logging_0683/tillsynsmail/A 10842-2026 tillsynsbegäran mail.docx", "A 10842-2026")</f>
        <v/>
      </c>
    </row>
    <row r="19" ht="15" customHeight="1">
      <c r="A19" t="inlineStr">
        <is>
          <t>A 23920-2026</t>
        </is>
      </c>
      <c r="B19" s="1" t="n">
        <v>46167</v>
      </c>
      <c r="C19" s="1" t="n">
        <v>46196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HYPERLINK("https://klasma.github.io/Logging_0683/artfynd/A 23920-2026 artfynd.xlsx", "A 23920-2026")</f>
        <v/>
      </c>
      <c r="T19">
        <f>HYPERLINK("https://klasma.github.io/Logging_0683/kartor/A 23920-2026 karta.png", "A 23920-2026")</f>
        <v/>
      </c>
      <c r="V19">
        <f>HYPERLINK("https://klasma.github.io/Logging_0683/klagomål/A 23920-2026 FSC-klagomål.docx", "A 23920-2026")</f>
        <v/>
      </c>
      <c r="W19">
        <f>HYPERLINK("https://klasma.github.io/Logging_0683/klagomålsmail/A 23920-2026 FSC-klagomål mail.docx", "A 23920-2026")</f>
        <v/>
      </c>
      <c r="X19">
        <f>HYPERLINK("https://klasma.github.io/Logging_0683/tillsyn/A 23920-2026 tillsynsbegäran.docx", "A 23920-2026")</f>
        <v/>
      </c>
      <c r="Y19">
        <f>HYPERLINK("https://klasma.github.io/Logging_0683/tillsynsmail/A 23920-2026 tillsynsbegäran mail.docx", "A 23920-2026")</f>
        <v/>
      </c>
    </row>
    <row r="20" ht="15" customHeight="1">
      <c r="A20" t="inlineStr">
        <is>
          <t>A 27295-2026</t>
        </is>
      </c>
      <c r="B20" s="1" t="n">
        <v>46188</v>
      </c>
      <c r="C20" s="1" t="n">
        <v>46196</v>
      </c>
      <c r="D20" t="inlineStr">
        <is>
          <t>JÖNKÖPINGS LÄN</t>
        </is>
      </c>
      <c r="E20" t="inlineStr">
        <is>
          <t>VÄRNAMO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HYPERLINK("https://klasma.github.io/Logging_0683/artfynd/A 27295-2026 artfynd.xlsx", "A 27295-2026")</f>
        <v/>
      </c>
      <c r="T20">
        <f>HYPERLINK("https://klasma.github.io/Logging_0683/kartor/A 27295-2026 karta.png", "A 27295-2026")</f>
        <v/>
      </c>
      <c r="V20">
        <f>HYPERLINK("https://klasma.github.io/Logging_0683/klagomål/A 27295-2026 FSC-klagomål.docx", "A 27295-2026")</f>
        <v/>
      </c>
      <c r="W20">
        <f>HYPERLINK("https://klasma.github.io/Logging_0683/klagomålsmail/A 27295-2026 FSC-klagomål mail.docx", "A 27295-2026")</f>
        <v/>
      </c>
      <c r="X20">
        <f>HYPERLINK("https://klasma.github.io/Logging_0683/tillsyn/A 27295-2026 tillsynsbegäran.docx", "A 27295-2026")</f>
        <v/>
      </c>
      <c r="Y20">
        <f>HYPERLINK("https://klasma.github.io/Logging_0683/tillsynsmail/A 27295-2026 tillsynsbegäran mail.docx", "A 27295-2026")</f>
        <v/>
      </c>
    </row>
    <row r="21" ht="15" customHeight="1">
      <c r="A21" t="inlineStr">
        <is>
          <t>A 28002-2026</t>
        </is>
      </c>
      <c r="B21" s="1" t="n">
        <v>46195</v>
      </c>
      <c r="C21" s="1" t="n">
        <v>46196</v>
      </c>
      <c r="D21" t="inlineStr">
        <is>
          <t>JÖNKÖPINGS LÄN</t>
        </is>
      </c>
      <c r="E21" t="inlineStr">
        <is>
          <t>VÄRNAMO</t>
        </is>
      </c>
      <c r="F21" t="inlineStr">
        <is>
          <t>Sveaskog</t>
        </is>
      </c>
      <c r="G21" t="n">
        <v>26.9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HYPERLINK("https://klasma.github.io/Logging_0683/artfynd/A 28002-2026 artfynd.xlsx", "A 28002-2026")</f>
        <v/>
      </c>
      <c r="T21">
        <f>HYPERLINK("https://klasma.github.io/Logging_0683/kartor/A 28002-2026 karta.png", "A 28002-2026")</f>
        <v/>
      </c>
      <c r="V21">
        <f>HYPERLINK("https://klasma.github.io/Logging_0683/klagomål/A 28002-2026 FSC-klagomål.docx", "A 28002-2026")</f>
        <v/>
      </c>
      <c r="W21">
        <f>HYPERLINK("https://klasma.github.io/Logging_0683/klagomålsmail/A 28002-2026 FSC-klagomål mail.docx", "A 28002-2026")</f>
        <v/>
      </c>
      <c r="X21">
        <f>HYPERLINK("https://klasma.github.io/Logging_0683/tillsyn/A 28002-2026 tillsynsbegäran.docx", "A 28002-2026")</f>
        <v/>
      </c>
      <c r="Y21">
        <f>HYPERLINK("https://klasma.github.io/Logging_0683/tillsynsmail/A 28002-2026 tillsynsbegäran mail.docx", "A 28002-2026")</f>
        <v/>
      </c>
    </row>
    <row r="22" ht="15" customHeight="1">
      <c r="A22" t="inlineStr">
        <is>
          <t>A 23613-2023</t>
        </is>
      </c>
      <c r="B22" s="1" t="n">
        <v>45077</v>
      </c>
      <c r="C22" s="1" t="n">
        <v>46196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HYPERLINK("https://klasma.github.io/Logging_0683/artfynd/A 23613-2023 artfynd.xlsx", "A 23613-2023")</f>
        <v/>
      </c>
      <c r="T22">
        <f>HYPERLINK("https://klasma.github.io/Logging_0683/kartor/A 23613-2023 karta.png", "A 23613-2023")</f>
        <v/>
      </c>
      <c r="V22">
        <f>HYPERLINK("https://klasma.github.io/Logging_0683/klagomål/A 23613-2023 FSC-klagomål.docx", "A 23613-2023")</f>
        <v/>
      </c>
      <c r="W22">
        <f>HYPERLINK("https://klasma.github.io/Logging_0683/klagomålsmail/A 23613-2023 FSC-klagomål mail.docx", "A 23613-2023")</f>
        <v/>
      </c>
      <c r="X22">
        <f>HYPERLINK("https://klasma.github.io/Logging_0683/tillsyn/A 23613-2023 tillsynsbegäran.docx", "A 23613-2023")</f>
        <v/>
      </c>
      <c r="Y22">
        <f>HYPERLINK("https://klasma.github.io/Logging_0683/tillsynsmail/A 23613-2023 tillsynsbegäran mail.docx", "A 23613-2023")</f>
        <v/>
      </c>
    </row>
    <row r="23" ht="15" customHeight="1">
      <c r="A23" t="inlineStr">
        <is>
          <t>A 9042-2025</t>
        </is>
      </c>
      <c r="B23" s="1" t="n">
        <v>45713</v>
      </c>
      <c r="C23" s="1" t="n">
        <v>46196</v>
      </c>
      <c r="D23" t="inlineStr">
        <is>
          <t>JÖNKÖPINGS LÄN</t>
        </is>
      </c>
      <c r="E23" t="inlineStr">
        <is>
          <t>VÄRNAMO</t>
        </is>
      </c>
      <c r="F23" t="inlineStr">
        <is>
          <t>Sveaskog</t>
        </is>
      </c>
      <c r="G23" t="n">
        <v>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Lönnsavblomfluga</t>
        </is>
      </c>
      <c r="S23">
        <f>HYPERLINK("https://klasma.github.io/Logging_0683/artfynd/A 9042-2025 artfynd.xlsx", "A 9042-2025")</f>
        <v/>
      </c>
      <c r="T23">
        <f>HYPERLINK("https://klasma.github.io/Logging_0683/kartor/A 9042-2025 karta.png", "A 9042-2025")</f>
        <v/>
      </c>
      <c r="V23">
        <f>HYPERLINK("https://klasma.github.io/Logging_0683/klagomål/A 9042-2025 FSC-klagomål.docx", "A 9042-2025")</f>
        <v/>
      </c>
      <c r="W23">
        <f>HYPERLINK("https://klasma.github.io/Logging_0683/klagomålsmail/A 9042-2025 FSC-klagomål mail.docx", "A 9042-2025")</f>
        <v/>
      </c>
      <c r="X23">
        <f>HYPERLINK("https://klasma.github.io/Logging_0683/tillsyn/A 9042-2025 tillsynsbegäran.docx", "A 9042-2025")</f>
        <v/>
      </c>
      <c r="Y23">
        <f>HYPERLINK("https://klasma.github.io/Logging_0683/tillsynsmail/A 9042-2025 tillsynsbegäran mail.docx", "A 9042-2025")</f>
        <v/>
      </c>
    </row>
    <row r="24" ht="15" customHeight="1">
      <c r="A24" t="inlineStr">
        <is>
          <t>A 37198-2024</t>
        </is>
      </c>
      <c r="B24" s="1" t="n">
        <v>45539</v>
      </c>
      <c r="C24" s="1" t="n">
        <v>46196</v>
      </c>
      <c r="D24" t="inlineStr">
        <is>
          <t>JÖNKÖPINGS LÄN</t>
        </is>
      </c>
      <c r="E24" t="inlineStr">
        <is>
          <t>VÄRNAMO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Gullpudra</t>
        </is>
      </c>
      <c r="S24">
        <f>HYPERLINK("https://klasma.github.io/Logging_0683/artfynd/A 37198-2024 artfynd.xlsx", "A 37198-2024")</f>
        <v/>
      </c>
      <c r="T24">
        <f>HYPERLINK("https://klasma.github.io/Logging_0683/kartor/A 37198-2024 karta.png", "A 37198-2024")</f>
        <v/>
      </c>
      <c r="V24">
        <f>HYPERLINK("https://klasma.github.io/Logging_0683/klagomål/A 37198-2024 FSC-klagomål.docx", "A 37198-2024")</f>
        <v/>
      </c>
      <c r="W24">
        <f>HYPERLINK("https://klasma.github.io/Logging_0683/klagomålsmail/A 37198-2024 FSC-klagomål mail.docx", "A 37198-2024")</f>
        <v/>
      </c>
      <c r="X24">
        <f>HYPERLINK("https://klasma.github.io/Logging_0683/tillsyn/A 37198-2024 tillsynsbegäran.docx", "A 37198-2024")</f>
        <v/>
      </c>
      <c r="Y24">
        <f>HYPERLINK("https://klasma.github.io/Logging_0683/tillsynsmail/A 37198-2024 tillsynsbegäran mail.docx", "A 37198-2024")</f>
        <v/>
      </c>
    </row>
    <row r="25" ht="15" customHeight="1">
      <c r="A25" t="inlineStr">
        <is>
          <t>A 53528-2023</t>
        </is>
      </c>
      <c r="B25" s="1" t="n">
        <v>45223</v>
      </c>
      <c r="C25" s="1" t="n">
        <v>46196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HYPERLINK("https://klasma.github.io/Logging_0683/artfynd/A 53528-2023 artfynd.xlsx", "A 53528-2023")</f>
        <v/>
      </c>
      <c r="T25">
        <f>HYPERLINK("https://klasma.github.io/Logging_0683/kartor/A 53528-2023 karta.png", "A 53528-2023")</f>
        <v/>
      </c>
      <c r="V25">
        <f>HYPERLINK("https://klasma.github.io/Logging_0683/klagomål/A 53528-2023 FSC-klagomål.docx", "A 53528-2023")</f>
        <v/>
      </c>
      <c r="W25">
        <f>HYPERLINK("https://klasma.github.io/Logging_0683/klagomålsmail/A 53528-2023 FSC-klagomål mail.docx", "A 53528-2023")</f>
        <v/>
      </c>
      <c r="X25">
        <f>HYPERLINK("https://klasma.github.io/Logging_0683/tillsyn/A 53528-2023 tillsynsbegäran.docx", "A 53528-2023")</f>
        <v/>
      </c>
      <c r="Y25">
        <f>HYPERLINK("https://klasma.github.io/Logging_0683/tillsynsmail/A 53528-2023 tillsynsbegäran mail.docx", "A 53528-2023")</f>
        <v/>
      </c>
    </row>
    <row r="26" ht="15" customHeight="1">
      <c r="A26" t="inlineStr">
        <is>
          <t>A 26198-2023</t>
        </is>
      </c>
      <c r="B26" s="1" t="n">
        <v>45091</v>
      </c>
      <c r="C26" s="1" t="n">
        <v>46196</v>
      </c>
      <c r="D26" t="inlineStr">
        <is>
          <t>JÖNKÖPINGS LÄN</t>
        </is>
      </c>
      <c r="E26" t="inlineStr">
        <is>
          <t>VÄRNAMO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HYPERLINK("https://klasma.github.io/Logging_0683/artfynd/A 26198-2023 artfynd.xlsx", "A 26198-2023")</f>
        <v/>
      </c>
      <c r="T26">
        <f>HYPERLINK("https://klasma.github.io/Logging_0683/kartor/A 26198-2023 karta.png", "A 26198-2023")</f>
        <v/>
      </c>
      <c r="V26">
        <f>HYPERLINK("https://klasma.github.io/Logging_0683/klagomål/A 26198-2023 FSC-klagomål.docx", "A 26198-2023")</f>
        <v/>
      </c>
      <c r="W26">
        <f>HYPERLINK("https://klasma.github.io/Logging_0683/klagomålsmail/A 26198-2023 FSC-klagomål mail.docx", "A 26198-2023")</f>
        <v/>
      </c>
      <c r="X26">
        <f>HYPERLINK("https://klasma.github.io/Logging_0683/tillsyn/A 26198-2023 tillsynsbegäran.docx", "A 26198-2023")</f>
        <v/>
      </c>
      <c r="Y26">
        <f>HYPERLINK("https://klasma.github.io/Logging_0683/tillsynsmail/A 26198-2023 tillsynsbegäran mail.docx", "A 26198-2023")</f>
        <v/>
      </c>
    </row>
    <row r="27" ht="15" customHeight="1">
      <c r="A27" t="inlineStr">
        <is>
          <t>A 53536-2023</t>
        </is>
      </c>
      <c r="B27" s="1" t="n">
        <v>45223</v>
      </c>
      <c r="C27" s="1" t="n">
        <v>46196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HYPERLINK("https://klasma.github.io/Logging_0683/artfynd/A 53536-2023 artfynd.xlsx", "A 53536-2023")</f>
        <v/>
      </c>
      <c r="T27">
        <f>HYPERLINK("https://klasma.github.io/Logging_0683/kartor/A 53536-2023 karta.png", "A 53536-2023")</f>
        <v/>
      </c>
      <c r="V27">
        <f>HYPERLINK("https://klasma.github.io/Logging_0683/klagomål/A 53536-2023 FSC-klagomål.docx", "A 53536-2023")</f>
        <v/>
      </c>
      <c r="W27">
        <f>HYPERLINK("https://klasma.github.io/Logging_0683/klagomålsmail/A 53536-2023 FSC-klagomål mail.docx", "A 53536-2023")</f>
        <v/>
      </c>
      <c r="X27">
        <f>HYPERLINK("https://klasma.github.io/Logging_0683/tillsyn/A 53536-2023 tillsynsbegäran.docx", "A 53536-2023")</f>
        <v/>
      </c>
      <c r="Y27">
        <f>HYPERLINK("https://klasma.github.io/Logging_0683/tillsynsmail/A 53536-2023 tillsynsbegäran mail.docx", "A 53536-2023")</f>
        <v/>
      </c>
    </row>
    <row r="28" ht="15" customHeight="1">
      <c r="A28" t="inlineStr">
        <is>
          <t>A 23370-2023</t>
        </is>
      </c>
      <c r="B28" s="1" t="n">
        <v>45076</v>
      </c>
      <c r="C28" s="1" t="n">
        <v>46196</v>
      </c>
      <c r="D28" t="inlineStr">
        <is>
          <t>JÖNKÖPINGS LÄN</t>
        </is>
      </c>
      <c r="E28" t="inlineStr">
        <is>
          <t>VÄRNAMO</t>
        </is>
      </c>
      <c r="G28" t="n">
        <v>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HYPERLINK("https://klasma.github.io/Logging_0683/artfynd/A 23370-2023 artfynd.xlsx", "A 23370-2023")</f>
        <v/>
      </c>
      <c r="T28">
        <f>HYPERLINK("https://klasma.github.io/Logging_0683/kartor/A 23370-2023 karta.png", "A 23370-2023")</f>
        <v/>
      </c>
      <c r="V28">
        <f>HYPERLINK("https://klasma.github.io/Logging_0683/klagomål/A 23370-2023 FSC-klagomål.docx", "A 23370-2023")</f>
        <v/>
      </c>
      <c r="W28">
        <f>HYPERLINK("https://klasma.github.io/Logging_0683/klagomålsmail/A 23370-2023 FSC-klagomål mail.docx", "A 23370-2023")</f>
        <v/>
      </c>
      <c r="X28">
        <f>HYPERLINK("https://klasma.github.io/Logging_0683/tillsyn/A 23370-2023 tillsynsbegäran.docx", "A 23370-2023")</f>
        <v/>
      </c>
      <c r="Y28">
        <f>HYPERLINK("https://klasma.github.io/Logging_0683/tillsynsmail/A 23370-2023 tillsynsbegäran mail.docx", "A 23370-2023")</f>
        <v/>
      </c>
    </row>
    <row r="29" ht="15" customHeight="1">
      <c r="A29" t="inlineStr">
        <is>
          <t>A 63418-2021</t>
        </is>
      </c>
      <c r="B29" s="1" t="n">
        <v>44508</v>
      </c>
      <c r="C29" s="1" t="n">
        <v>46196</v>
      </c>
      <c r="D29" t="inlineStr">
        <is>
          <t>JÖNKÖPINGS LÄN</t>
        </is>
      </c>
      <c r="E29" t="inlineStr">
        <is>
          <t>VÄRNAMO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HYPERLINK("https://klasma.github.io/Logging_0683/artfynd/A 63418-2021 artfynd.xlsx", "A 63418-2021")</f>
        <v/>
      </c>
      <c r="T29">
        <f>HYPERLINK("https://klasma.github.io/Logging_0683/kartor/A 63418-2021 karta.png", "A 63418-2021")</f>
        <v/>
      </c>
      <c r="V29">
        <f>HYPERLINK("https://klasma.github.io/Logging_0683/klagomål/A 63418-2021 FSC-klagomål.docx", "A 63418-2021")</f>
        <v/>
      </c>
      <c r="W29">
        <f>HYPERLINK("https://klasma.github.io/Logging_0683/klagomålsmail/A 63418-2021 FSC-klagomål mail.docx", "A 63418-2021")</f>
        <v/>
      </c>
      <c r="X29">
        <f>HYPERLINK("https://klasma.github.io/Logging_0683/tillsyn/A 63418-2021 tillsynsbegäran.docx", "A 63418-2021")</f>
        <v/>
      </c>
      <c r="Y29">
        <f>HYPERLINK("https://klasma.github.io/Logging_0683/tillsynsmail/A 63418-2021 tillsynsbegäran mail.docx", "A 63418-2021")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46196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46196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518-2022</t>
        </is>
      </c>
      <c r="B32" s="1" t="n">
        <v>44566</v>
      </c>
      <c r="C32" s="1" t="n">
        <v>46196</v>
      </c>
      <c r="D32" t="inlineStr">
        <is>
          <t>JÖNKÖPINGS LÄN</t>
        </is>
      </c>
      <c r="E32" t="inlineStr">
        <is>
          <t>VÄRNAMO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46196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47313-2022</t>
        </is>
      </c>
      <c r="B34" s="1" t="n">
        <v>44853</v>
      </c>
      <c r="C34" s="1" t="n">
        <v>46196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11199-2022</t>
        </is>
      </c>
      <c r="B35" s="1" t="n">
        <v>44629</v>
      </c>
      <c r="C35" s="1" t="n">
        <v>46196</v>
      </c>
      <c r="D35" t="inlineStr">
        <is>
          <t>JÖNKÖPINGS LÄN</t>
        </is>
      </c>
      <c r="E35" t="inlineStr">
        <is>
          <t>VÄRNAMO</t>
        </is>
      </c>
      <c r="F35" t="inlineStr">
        <is>
          <t>Kyrkan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40968-2021</t>
        </is>
      </c>
      <c r="B36" s="1" t="n">
        <v>44421</v>
      </c>
      <c r="C36" s="1" t="n">
        <v>46196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46196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46196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46196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46196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46196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46196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46196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46196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46196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46196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46196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46196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46196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46196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46196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46196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46196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46196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46196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46196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46196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46196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46196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46196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46196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46196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</v>
      </c>
      <c r="C64" s="1" t="n">
        <v>46196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60589-2021</t>
        </is>
      </c>
      <c r="B65" s="1" t="n">
        <v>44496</v>
      </c>
      <c r="C65" s="1" t="n">
        <v>46196</v>
      </c>
      <c r="D65" t="inlineStr">
        <is>
          <t>JÖNKÖPINGS LÄN</t>
        </is>
      </c>
      <c r="E65" t="inlineStr">
        <is>
          <t>VÄRNAMO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46196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46196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46196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46196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46196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46196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46196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46196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46196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46196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46196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46196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46196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46196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46196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46196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46196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46196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46196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46196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</v>
      </c>
      <c r="C88" s="1" t="n">
        <v>46196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46196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46196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46196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56077-2021</t>
        </is>
      </c>
      <c r="B92" s="1" t="n">
        <v>44477</v>
      </c>
      <c r="C92" s="1" t="n">
        <v>46196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46196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46196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46196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46196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46196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46196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413-2023</t>
        </is>
      </c>
      <c r="B99" s="1" t="n">
        <v>44929</v>
      </c>
      <c r="C99" s="1" t="n">
        <v>46196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</v>
      </c>
      <c r="C100" s="1" t="n">
        <v>46196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4735-2024</t>
        </is>
      </c>
      <c r="B101" s="1" t="n">
        <v>45328</v>
      </c>
      <c r="C101" s="1" t="n">
        <v>46196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24702-2022</t>
        </is>
      </c>
      <c r="B102" s="1" t="n">
        <v>44727</v>
      </c>
      <c r="C102" s="1" t="n">
        <v>46196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13190-2024</t>
        </is>
      </c>
      <c r="B103" s="1" t="n">
        <v>45386</v>
      </c>
      <c r="C103" s="1" t="n">
        <v>46196</v>
      </c>
      <c r="D103" t="inlineStr">
        <is>
          <t>JÖNKÖPINGS LÄN</t>
        </is>
      </c>
      <c r="E103" t="inlineStr">
        <is>
          <t>VÄRNAMO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54693-2024</t>
        </is>
      </c>
      <c r="B104" s="1" t="n">
        <v>45618</v>
      </c>
      <c r="C104" s="1" t="n">
        <v>46196</v>
      </c>
      <c r="D104" t="inlineStr">
        <is>
          <t>JÖNKÖPINGS LÄN</t>
        </is>
      </c>
      <c r="E104" t="inlineStr">
        <is>
          <t>VÄRNAMO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51772-2024</t>
        </is>
      </c>
      <c r="B105" s="1" t="n">
        <v>45607</v>
      </c>
      <c r="C105" s="1" t="n">
        <v>46196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39218-2023</t>
        </is>
      </c>
      <c r="B106" s="1" t="n">
        <v>45166</v>
      </c>
      <c r="C106" s="1" t="n">
        <v>46196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43132-2024</t>
        </is>
      </c>
      <c r="B107" s="1" t="n">
        <v>45567</v>
      </c>
      <c r="C107" s="1" t="n">
        <v>46196</v>
      </c>
      <c r="D107" t="inlineStr">
        <is>
          <t>JÖNKÖPINGS LÄN</t>
        </is>
      </c>
      <c r="E107" t="inlineStr">
        <is>
          <t>VÄRNAMO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43155-2024</t>
        </is>
      </c>
      <c r="B108" s="1" t="n">
        <v>45567</v>
      </c>
      <c r="C108" s="1" t="n">
        <v>46196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17468-2023</t>
        </is>
      </c>
      <c r="B109" s="1" t="n">
        <v>45036</v>
      </c>
      <c r="C109" s="1" t="n">
        <v>46196</v>
      </c>
      <c r="D109" t="inlineStr">
        <is>
          <t>JÖNKÖPINGS LÄN</t>
        </is>
      </c>
      <c r="E109" t="inlineStr">
        <is>
          <t>VÄRNAMO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3903-2025</t>
        </is>
      </c>
      <c r="B110" s="1" t="n">
        <v>45684</v>
      </c>
      <c r="C110" s="1" t="n">
        <v>46196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13273-2025</t>
        </is>
      </c>
      <c r="B111" s="1" t="n">
        <v>45735</v>
      </c>
      <c r="C111" s="1" t="n">
        <v>46196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11990-2025</t>
        </is>
      </c>
      <c r="B112" s="1" t="n">
        <v>45728</v>
      </c>
      <c r="C112" s="1" t="n">
        <v>46196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8910-2024</t>
        </is>
      </c>
      <c r="B113" s="1" t="n">
        <v>45357</v>
      </c>
      <c r="C113" s="1" t="n">
        <v>46196</v>
      </c>
      <c r="D113" t="inlineStr">
        <is>
          <t>JÖNKÖPINGS LÄN</t>
        </is>
      </c>
      <c r="E113" t="inlineStr">
        <is>
          <t>VÄRNAMO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26271-2024</t>
        </is>
      </c>
      <c r="B114" s="1" t="n">
        <v>45468</v>
      </c>
      <c r="C114" s="1" t="n">
        <v>46196</v>
      </c>
      <c r="D114" t="inlineStr">
        <is>
          <t>JÖNKÖPINGS LÄN</t>
        </is>
      </c>
      <c r="E114" t="inlineStr">
        <is>
          <t>VÄRNAMO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19090-2024</t>
        </is>
      </c>
      <c r="B115" s="1" t="n">
        <v>45428</v>
      </c>
      <c r="C115" s="1" t="n">
        <v>46196</v>
      </c>
      <c r="D115" t="inlineStr">
        <is>
          <t>JÖNKÖPINGS LÄN</t>
        </is>
      </c>
      <c r="E115" t="inlineStr">
        <is>
          <t>VÄRNAMO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38662-2024</t>
        </is>
      </c>
      <c r="B116" s="1" t="n">
        <v>45547</v>
      </c>
      <c r="C116" s="1" t="n">
        <v>46196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50831-2025</t>
        </is>
      </c>
      <c r="B117" s="1" t="n">
        <v>45946</v>
      </c>
      <c r="C117" s="1" t="n">
        <v>46196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22367-2025</t>
        </is>
      </c>
      <c r="B118" s="1" t="n">
        <v>45786</v>
      </c>
      <c r="C118" s="1" t="n">
        <v>46196</v>
      </c>
      <c r="D118" t="inlineStr">
        <is>
          <t>JÖNKÖPINGS LÄN</t>
        </is>
      </c>
      <c r="E118" t="inlineStr">
        <is>
          <t>VÄRNAMO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53473-2025</t>
        </is>
      </c>
      <c r="B119" s="1" t="n">
        <v>45959</v>
      </c>
      <c r="C119" s="1" t="n">
        <v>46196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56413-2023</t>
        </is>
      </c>
      <c r="B120" s="1" t="n">
        <v>45243</v>
      </c>
      <c r="C120" s="1" t="n">
        <v>46196</v>
      </c>
      <c r="D120" t="inlineStr">
        <is>
          <t>JÖNKÖPINGS LÄN</t>
        </is>
      </c>
      <c r="E120" t="inlineStr">
        <is>
          <t>VÄRNAMO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32374-2024</t>
        </is>
      </c>
      <c r="B121" s="1" t="n">
        <v>45512</v>
      </c>
      <c r="C121" s="1" t="n">
        <v>46196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60105-2024</t>
        </is>
      </c>
      <c r="B122" s="1" t="n">
        <v>45642</v>
      </c>
      <c r="C122" s="1" t="n">
        <v>46196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22220-2024</t>
        </is>
      </c>
      <c r="B123" s="1" t="n">
        <v>45445</v>
      </c>
      <c r="C123" s="1" t="n">
        <v>46196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18711-2025</t>
        </is>
      </c>
      <c r="B124" s="1" t="n">
        <v>45763</v>
      </c>
      <c r="C124" s="1" t="n">
        <v>46196</v>
      </c>
      <c r="D124" t="inlineStr">
        <is>
          <t>JÖNKÖPINGS LÄN</t>
        </is>
      </c>
      <c r="E124" t="inlineStr">
        <is>
          <t>VÄRNAMO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35266-2025</t>
        </is>
      </c>
      <c r="B125" s="1" t="n">
        <v>45853</v>
      </c>
      <c r="C125" s="1" t="n">
        <v>46196</v>
      </c>
      <c r="D125" t="inlineStr">
        <is>
          <t>JÖNKÖPINGS LÄN</t>
        </is>
      </c>
      <c r="E125" t="inlineStr">
        <is>
          <t>VÄRNAMO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22994-2025</t>
        </is>
      </c>
      <c r="B126" s="1" t="n">
        <v>45790</v>
      </c>
      <c r="C126" s="1" t="n">
        <v>46196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53004-2025</t>
        </is>
      </c>
      <c r="B127" s="1" t="n">
        <v>45957</v>
      </c>
      <c r="C127" s="1" t="n">
        <v>46196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53005-2025</t>
        </is>
      </c>
      <c r="B128" s="1" t="n">
        <v>45957</v>
      </c>
      <c r="C128" s="1" t="n">
        <v>46196</v>
      </c>
      <c r="D128" t="inlineStr">
        <is>
          <t>JÖNKÖPINGS LÄN</t>
        </is>
      </c>
      <c r="E128" t="inlineStr">
        <is>
          <t>VÄRNAMO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53006-2025</t>
        </is>
      </c>
      <c r="B129" s="1" t="n">
        <v>45957</v>
      </c>
      <c r="C129" s="1" t="n">
        <v>46196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53009-2025</t>
        </is>
      </c>
      <c r="B130" s="1" t="n">
        <v>45957</v>
      </c>
      <c r="C130" s="1" t="n">
        <v>46196</v>
      </c>
      <c r="D130" t="inlineStr">
        <is>
          <t>JÖNKÖPINGS LÄN</t>
        </is>
      </c>
      <c r="E130" t="inlineStr">
        <is>
          <t>VÄRNAMO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11112-2025</t>
        </is>
      </c>
      <c r="B131" s="1" t="n">
        <v>45723</v>
      </c>
      <c r="C131" s="1" t="n">
        <v>46196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41893-2024</t>
        </is>
      </c>
      <c r="B132" s="1" t="n">
        <v>45561</v>
      </c>
      <c r="C132" s="1" t="n">
        <v>46196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46985-2024</t>
        </is>
      </c>
      <c r="B133" s="1" t="n">
        <v>45583</v>
      </c>
      <c r="C133" s="1" t="n">
        <v>46196</v>
      </c>
      <c r="D133" t="inlineStr">
        <is>
          <t>JÖNKÖPINGS LÄN</t>
        </is>
      </c>
      <c r="E133" t="inlineStr">
        <is>
          <t>VÄRNAMO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23671-2025</t>
        </is>
      </c>
      <c r="B134" s="1" t="n">
        <v>45792</v>
      </c>
      <c r="C134" s="1" t="n">
        <v>46196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54502-2025</t>
        </is>
      </c>
      <c r="B135" s="1" t="n">
        <v>45965</v>
      </c>
      <c r="C135" s="1" t="n">
        <v>46196</v>
      </c>
      <c r="D135" t="inlineStr">
        <is>
          <t>JÖNKÖPINGS LÄN</t>
        </is>
      </c>
      <c r="E135" t="inlineStr">
        <is>
          <t>VÄRNAMO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24100-2025</t>
        </is>
      </c>
      <c r="B136" s="1" t="n">
        <v>45796</v>
      </c>
      <c r="C136" s="1" t="n">
        <v>46196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35264-2025</t>
        </is>
      </c>
      <c r="B137" s="1" t="n">
        <v>45853</v>
      </c>
      <c r="C137" s="1" t="n">
        <v>46196</v>
      </c>
      <c r="D137" t="inlineStr">
        <is>
          <t>JÖNKÖPINGS LÄN</t>
        </is>
      </c>
      <c r="E137" t="inlineStr">
        <is>
          <t>VÄRNAMO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54501-2025</t>
        </is>
      </c>
      <c r="B138" s="1" t="n">
        <v>45965</v>
      </c>
      <c r="C138" s="1" t="n">
        <v>46196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39363-2025</t>
        </is>
      </c>
      <c r="B139" s="1" t="n">
        <v>45889</v>
      </c>
      <c r="C139" s="1" t="n">
        <v>46196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22101-2025</t>
        </is>
      </c>
      <c r="B140" s="1" t="n">
        <v>45785</v>
      </c>
      <c r="C140" s="1" t="n">
        <v>46196</v>
      </c>
      <c r="D140" t="inlineStr">
        <is>
          <t>JÖNKÖPINGS LÄN</t>
        </is>
      </c>
      <c r="E140" t="inlineStr">
        <is>
          <t>VÄRNAMO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54703-2025</t>
        </is>
      </c>
      <c r="B141" s="1" t="n">
        <v>45966</v>
      </c>
      <c r="C141" s="1" t="n">
        <v>46196</v>
      </c>
      <c r="D141" t="inlineStr">
        <is>
          <t>JÖNKÖPINGS LÄN</t>
        </is>
      </c>
      <c r="E141" t="inlineStr">
        <is>
          <t>VÄRNAMO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39782-2025</t>
        </is>
      </c>
      <c r="B142" s="1" t="n">
        <v>45891</v>
      </c>
      <c r="C142" s="1" t="n">
        <v>46196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54892-2025</t>
        </is>
      </c>
      <c r="B143" s="1" t="n">
        <v>45967</v>
      </c>
      <c r="C143" s="1" t="n">
        <v>46196</v>
      </c>
      <c r="D143" t="inlineStr">
        <is>
          <t>JÖNKÖPINGS LÄN</t>
        </is>
      </c>
      <c r="E143" t="inlineStr">
        <is>
          <t>VÄRNAMO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55454-2025</t>
        </is>
      </c>
      <c r="B144" s="1" t="n">
        <v>45971</v>
      </c>
      <c r="C144" s="1" t="n">
        <v>46196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24245-2025</t>
        </is>
      </c>
      <c r="B145" s="1" t="n">
        <v>45797</v>
      </c>
      <c r="C145" s="1" t="n">
        <v>46196</v>
      </c>
      <c r="D145" t="inlineStr">
        <is>
          <t>JÖNKÖPINGS LÄN</t>
        </is>
      </c>
      <c r="E145" t="inlineStr">
        <is>
          <t>VÄRNAMO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55446-2025</t>
        </is>
      </c>
      <c r="B146" s="1" t="n">
        <v>45971</v>
      </c>
      <c r="C146" s="1" t="n">
        <v>46196</v>
      </c>
      <c r="D146" t="inlineStr">
        <is>
          <t>JÖNKÖPINGS LÄN</t>
        </is>
      </c>
      <c r="E146" t="inlineStr">
        <is>
          <t>VÄRNAMO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55448-2025</t>
        </is>
      </c>
      <c r="B147" s="1" t="n">
        <v>45971</v>
      </c>
      <c r="C147" s="1" t="n">
        <v>46196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</v>
      </c>
      <c r="C148" s="1" t="n">
        <v>46196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40114-2025</t>
        </is>
      </c>
      <c r="B149" s="1" t="n">
        <v>45894</v>
      </c>
      <c r="C149" s="1" t="n">
        <v>46196</v>
      </c>
      <c r="D149" t="inlineStr">
        <is>
          <t>JÖNKÖPINGS LÄN</t>
        </is>
      </c>
      <c r="E149" t="inlineStr">
        <is>
          <t>VÄRNAMO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2490-2025</t>
        </is>
      </c>
      <c r="B150" s="1" t="n">
        <v>45674</v>
      </c>
      <c r="C150" s="1" t="n">
        <v>46196</v>
      </c>
      <c r="D150" t="inlineStr">
        <is>
          <t>JÖNKÖPINGS LÄN</t>
        </is>
      </c>
      <c r="E150" t="inlineStr">
        <is>
          <t>VÄRNAMO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55447-2025</t>
        </is>
      </c>
      <c r="B151" s="1" t="n">
        <v>45971</v>
      </c>
      <c r="C151" s="1" t="n">
        <v>46196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55527-2025</t>
        </is>
      </c>
      <c r="B152" s="1" t="n">
        <v>45971</v>
      </c>
      <c r="C152" s="1" t="n">
        <v>46196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55764-2025</t>
        </is>
      </c>
      <c r="B153" s="1" t="n">
        <v>45972</v>
      </c>
      <c r="C153" s="1" t="n">
        <v>46196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55777-2025</t>
        </is>
      </c>
      <c r="B154" s="1" t="n">
        <v>45972</v>
      </c>
      <c r="C154" s="1" t="n">
        <v>46196</v>
      </c>
      <c r="D154" t="inlineStr">
        <is>
          <t>JÖNKÖPINGS LÄN</t>
        </is>
      </c>
      <c r="E154" t="inlineStr">
        <is>
          <t>VÄRNAMO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25626-2025</t>
        </is>
      </c>
      <c r="B155" s="1" t="n">
        <v>45803</v>
      </c>
      <c r="C155" s="1" t="n">
        <v>46196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51463-2022</t>
        </is>
      </c>
      <c r="B156" s="1" t="n">
        <v>44869</v>
      </c>
      <c r="C156" s="1" t="n">
        <v>46196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26436-2025</t>
        </is>
      </c>
      <c r="B157" s="1" t="n">
        <v>45807</v>
      </c>
      <c r="C157" s="1" t="n">
        <v>46196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14536-2024</t>
        </is>
      </c>
      <c r="B158" s="1" t="n">
        <v>45394</v>
      </c>
      <c r="C158" s="1" t="n">
        <v>46196</v>
      </c>
      <c r="D158" t="inlineStr">
        <is>
          <t>JÖNKÖPINGS LÄN</t>
        </is>
      </c>
      <c r="E158" t="inlineStr">
        <is>
          <t>VÄRNAMO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45585-2023</t>
        </is>
      </c>
      <c r="B159" s="1" t="n">
        <v>45194</v>
      </c>
      <c r="C159" s="1" t="n">
        <v>46196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55379-2023</t>
        </is>
      </c>
      <c r="B160" s="1" t="n">
        <v>45238</v>
      </c>
      <c r="C160" s="1" t="n">
        <v>46196</v>
      </c>
      <c r="D160" t="inlineStr">
        <is>
          <t>JÖNKÖPINGS LÄN</t>
        </is>
      </c>
      <c r="E160" t="inlineStr">
        <is>
          <t>VÄRNAMO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31091-2023</t>
        </is>
      </c>
      <c r="B161" s="1" t="n">
        <v>45113</v>
      </c>
      <c r="C161" s="1" t="n">
        <v>46196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34899-2023</t>
        </is>
      </c>
      <c r="B162" s="1" t="n">
        <v>45142</v>
      </c>
      <c r="C162" s="1" t="n">
        <v>46196</v>
      </c>
      <c r="D162" t="inlineStr">
        <is>
          <t>JÖNKÖPINGS LÄN</t>
        </is>
      </c>
      <c r="E162" t="inlineStr">
        <is>
          <t>VÄRNAMO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9156-2024</t>
        </is>
      </c>
      <c r="B163" s="1" t="n">
        <v>45358</v>
      </c>
      <c r="C163" s="1" t="n">
        <v>46196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17684-2025</t>
        </is>
      </c>
      <c r="B164" s="1" t="n">
        <v>45758</v>
      </c>
      <c r="C164" s="1" t="n">
        <v>46196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56138-2025</t>
        </is>
      </c>
      <c r="B165" s="1" t="n">
        <v>45974</v>
      </c>
      <c r="C165" s="1" t="n">
        <v>46196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56409-2025</t>
        </is>
      </c>
      <c r="B166" s="1" t="n">
        <v>45975</v>
      </c>
      <c r="C166" s="1" t="n">
        <v>46196</v>
      </c>
      <c r="D166" t="inlineStr">
        <is>
          <t>JÖNKÖPINGS LÄN</t>
        </is>
      </c>
      <c r="E166" t="inlineStr">
        <is>
          <t>VÄRNAMO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56580-2025</t>
        </is>
      </c>
      <c r="B167" s="1" t="n">
        <v>45975</v>
      </c>
      <c r="C167" s="1" t="n">
        <v>46196</v>
      </c>
      <c r="D167" t="inlineStr">
        <is>
          <t>JÖNKÖPINGS LÄN</t>
        </is>
      </c>
      <c r="E167" t="inlineStr">
        <is>
          <t>VÄRNAMO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25084-2025</t>
        </is>
      </c>
      <c r="B168" s="1" t="n">
        <v>45800</v>
      </c>
      <c r="C168" s="1" t="n">
        <v>46196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56847-2025</t>
        </is>
      </c>
      <c r="B169" s="1" t="n">
        <v>45978</v>
      </c>
      <c r="C169" s="1" t="n">
        <v>46196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56846-2025</t>
        </is>
      </c>
      <c r="B170" s="1" t="n">
        <v>45978</v>
      </c>
      <c r="C170" s="1" t="n">
        <v>46196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20835-2024</t>
        </is>
      </c>
      <c r="B171" s="1" t="n">
        <v>45439</v>
      </c>
      <c r="C171" s="1" t="n">
        <v>46196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57718-2025</t>
        </is>
      </c>
      <c r="B172" s="1" t="n">
        <v>45981</v>
      </c>
      <c r="C172" s="1" t="n">
        <v>46196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57719-2025</t>
        </is>
      </c>
      <c r="B173" s="1" t="n">
        <v>45981</v>
      </c>
      <c r="C173" s="1" t="n">
        <v>46196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16456-2025</t>
        </is>
      </c>
      <c r="B174" s="1" t="n">
        <v>45750</v>
      </c>
      <c r="C174" s="1" t="n">
        <v>46196</v>
      </c>
      <c r="D174" t="inlineStr">
        <is>
          <t>JÖNKÖPINGS LÄN</t>
        </is>
      </c>
      <c r="E174" t="inlineStr">
        <is>
          <t>VÄRNAMO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20254-2025</t>
        </is>
      </c>
      <c r="B175" s="1" t="n">
        <v>45772</v>
      </c>
      <c r="C175" s="1" t="n">
        <v>46196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26803-2023</t>
        </is>
      </c>
      <c r="B176" s="1" t="n">
        <v>45093</v>
      </c>
      <c r="C176" s="1" t="n">
        <v>46196</v>
      </c>
      <c r="D176" t="inlineStr">
        <is>
          <t>JÖNKÖPINGS LÄN</t>
        </is>
      </c>
      <c r="E176" t="inlineStr">
        <is>
          <t>VÄRNAMO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58332-2025</t>
        </is>
      </c>
      <c r="B177" s="1" t="n">
        <v>45985</v>
      </c>
      <c r="C177" s="1" t="n">
        <v>46196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5428-2022</t>
        </is>
      </c>
      <c r="B178" s="1" t="n">
        <v>44595</v>
      </c>
      <c r="C178" s="1" t="n">
        <v>46196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15375-2023</t>
        </is>
      </c>
      <c r="B179" s="1" t="n">
        <v>45019</v>
      </c>
      <c r="C179" s="1" t="n">
        <v>46196</v>
      </c>
      <c r="D179" t="inlineStr">
        <is>
          <t>JÖNKÖPINGS LÄN</t>
        </is>
      </c>
      <c r="E179" t="inlineStr">
        <is>
          <t>VÄRNAMO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58785-2025</t>
        </is>
      </c>
      <c r="B180" s="1" t="n">
        <v>45986</v>
      </c>
      <c r="C180" s="1" t="n">
        <v>46196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2940-2024</t>
        </is>
      </c>
      <c r="B181" s="1" t="n">
        <v>45315</v>
      </c>
      <c r="C181" s="1" t="n">
        <v>46196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43963-2025</t>
        </is>
      </c>
      <c r="B182" s="1" t="n">
        <v>45915</v>
      </c>
      <c r="C182" s="1" t="n">
        <v>46196</v>
      </c>
      <c r="D182" t="inlineStr">
        <is>
          <t>JÖNKÖPINGS LÄN</t>
        </is>
      </c>
      <c r="E182" t="inlineStr">
        <is>
          <t>VÄRNAMO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58902-2025</t>
        </is>
      </c>
      <c r="B183" s="1" t="n">
        <v>45987</v>
      </c>
      <c r="C183" s="1" t="n">
        <v>46196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42494-2023</t>
        </is>
      </c>
      <c r="B184" s="1" t="n">
        <v>45180</v>
      </c>
      <c r="C184" s="1" t="n">
        <v>46196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58828-2025</t>
        </is>
      </c>
      <c r="B185" s="1" t="n">
        <v>45987</v>
      </c>
      <c r="C185" s="1" t="n">
        <v>46196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44744-2025</t>
        </is>
      </c>
      <c r="B186" s="1" t="n">
        <v>45917</v>
      </c>
      <c r="C186" s="1" t="n">
        <v>46196</v>
      </c>
      <c r="D186" t="inlineStr">
        <is>
          <t>JÖNKÖPINGS LÄN</t>
        </is>
      </c>
      <c r="E186" t="inlineStr">
        <is>
          <t>VÄRNAMO</t>
        </is>
      </c>
      <c r="F186" t="inlineStr">
        <is>
          <t>Övriga Aktiebolag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44733-2025</t>
        </is>
      </c>
      <c r="B187" s="1" t="n">
        <v>45917</v>
      </c>
      <c r="C187" s="1" t="n">
        <v>46196</v>
      </c>
      <c r="D187" t="inlineStr">
        <is>
          <t>JÖNKÖPINGS LÄN</t>
        </is>
      </c>
      <c r="E187" t="inlineStr">
        <is>
          <t>VÄRNAMO</t>
        </is>
      </c>
      <c r="F187" t="inlineStr">
        <is>
          <t>Övriga Aktiebolag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58784-2025</t>
        </is>
      </c>
      <c r="B188" s="1" t="n">
        <v>45986</v>
      </c>
      <c r="C188" s="1" t="n">
        <v>46196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1652-2025</t>
        </is>
      </c>
      <c r="B189" s="1" t="n">
        <v>45670</v>
      </c>
      <c r="C189" s="1" t="n">
        <v>46196</v>
      </c>
      <c r="D189" t="inlineStr">
        <is>
          <t>JÖNKÖPINGS LÄN</t>
        </is>
      </c>
      <c r="E189" t="inlineStr">
        <is>
          <t>VÄRNAMO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45275-2025</t>
        </is>
      </c>
      <c r="B190" s="1" t="n">
        <v>45919</v>
      </c>
      <c r="C190" s="1" t="n">
        <v>46196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45274-2025</t>
        </is>
      </c>
      <c r="B191" s="1" t="n">
        <v>45919</v>
      </c>
      <c r="C191" s="1" t="n">
        <v>46196</v>
      </c>
      <c r="D191" t="inlineStr">
        <is>
          <t>JÖNKÖPINGS LÄN</t>
        </is>
      </c>
      <c r="E191" t="inlineStr">
        <is>
          <t>VÄRNAMO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45160-2025</t>
        </is>
      </c>
      <c r="B192" s="1" t="n">
        <v>45919</v>
      </c>
      <c r="C192" s="1" t="n">
        <v>46196</v>
      </c>
      <c r="D192" t="inlineStr">
        <is>
          <t>JÖNKÖPINGS LÄN</t>
        </is>
      </c>
      <c r="E192" t="inlineStr">
        <is>
          <t>VÄRNAMO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59459-2025</t>
        </is>
      </c>
      <c r="B193" s="1" t="n">
        <v>45989</v>
      </c>
      <c r="C193" s="1" t="n">
        <v>46196</v>
      </c>
      <c r="D193" t="inlineStr">
        <is>
          <t>JÖNKÖPINGS LÄN</t>
        </is>
      </c>
      <c r="E193" t="inlineStr">
        <is>
          <t>VÄRNAMO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58293-2023</t>
        </is>
      </c>
      <c r="B194" s="1" t="n">
        <v>45250</v>
      </c>
      <c r="C194" s="1" t="n">
        <v>46196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45879-2025</t>
        </is>
      </c>
      <c r="B195" s="1" t="n">
        <v>45923</v>
      </c>
      <c r="C195" s="1" t="n">
        <v>46196</v>
      </c>
      <c r="D195" t="inlineStr">
        <is>
          <t>JÖNKÖPINGS LÄN</t>
        </is>
      </c>
      <c r="E195" t="inlineStr">
        <is>
          <t>VÄRNAMO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45873-2025</t>
        </is>
      </c>
      <c r="B196" s="1" t="n">
        <v>45923</v>
      </c>
      <c r="C196" s="1" t="n">
        <v>46196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45870-2025</t>
        </is>
      </c>
      <c r="B197" s="1" t="n">
        <v>45923</v>
      </c>
      <c r="C197" s="1" t="n">
        <v>46196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58739-2024</t>
        </is>
      </c>
      <c r="B198" s="1" t="n">
        <v>45635</v>
      </c>
      <c r="C198" s="1" t="n">
        <v>46196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45883-2025</t>
        </is>
      </c>
      <c r="B199" s="1" t="n">
        <v>45923</v>
      </c>
      <c r="C199" s="1" t="n">
        <v>46196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59881-2025</t>
        </is>
      </c>
      <c r="B200" s="1" t="n">
        <v>45993</v>
      </c>
      <c r="C200" s="1" t="n">
        <v>46196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59882-2025</t>
        </is>
      </c>
      <c r="B201" s="1" t="n">
        <v>45993</v>
      </c>
      <c r="C201" s="1" t="n">
        <v>46196</v>
      </c>
      <c r="D201" t="inlineStr">
        <is>
          <t>JÖNKÖPINGS LÄN</t>
        </is>
      </c>
      <c r="E201" t="inlineStr">
        <is>
          <t>VÄRNAMO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62294-2023</t>
        </is>
      </c>
      <c r="B202" s="1" t="n">
        <v>45267</v>
      </c>
      <c r="C202" s="1" t="n">
        <v>46196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46046-2025</t>
        </is>
      </c>
      <c r="B203" s="1" t="n">
        <v>45924</v>
      </c>
      <c r="C203" s="1" t="n">
        <v>46196</v>
      </c>
      <c r="D203" t="inlineStr">
        <is>
          <t>JÖNKÖPINGS LÄN</t>
        </is>
      </c>
      <c r="E203" t="inlineStr">
        <is>
          <t>VÄRNAMO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52146-2024</t>
        </is>
      </c>
      <c r="B204" s="1" t="n">
        <v>45608</v>
      </c>
      <c r="C204" s="1" t="n">
        <v>46196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46049-2025</t>
        </is>
      </c>
      <c r="B205" s="1" t="n">
        <v>45924</v>
      </c>
      <c r="C205" s="1" t="n">
        <v>46196</v>
      </c>
      <c r="D205" t="inlineStr">
        <is>
          <t>JÖNKÖPINGS LÄN</t>
        </is>
      </c>
      <c r="E205" t="inlineStr">
        <is>
          <t>VÄRNAMO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46050-2025</t>
        </is>
      </c>
      <c r="B206" s="1" t="n">
        <v>45924</v>
      </c>
      <c r="C206" s="1" t="n">
        <v>46196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46051-2025</t>
        </is>
      </c>
      <c r="B207" s="1" t="n">
        <v>45924</v>
      </c>
      <c r="C207" s="1" t="n">
        <v>46196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46055-2025</t>
        </is>
      </c>
      <c r="B208" s="1" t="n">
        <v>45924</v>
      </c>
      <c r="C208" s="1" t="n">
        <v>46196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19229-2025</t>
        </is>
      </c>
      <c r="B209" s="1" t="n">
        <v>45769</v>
      </c>
      <c r="C209" s="1" t="n">
        <v>46196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2547-2023</t>
        </is>
      </c>
      <c r="B210" s="1" t="n">
        <v>44943</v>
      </c>
      <c r="C210" s="1" t="n">
        <v>46196</v>
      </c>
      <c r="D210" t="inlineStr">
        <is>
          <t>JÖNKÖPINGS LÄN</t>
        </is>
      </c>
      <c r="E210" t="inlineStr">
        <is>
          <t>VÄRNAMO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9977-2024</t>
        </is>
      </c>
      <c r="B211" s="1" t="n">
        <v>45363</v>
      </c>
      <c r="C211" s="1" t="n">
        <v>46196</v>
      </c>
      <c r="D211" t="inlineStr">
        <is>
          <t>JÖNKÖPINGS LÄN</t>
        </is>
      </c>
      <c r="E211" t="inlineStr">
        <is>
          <t>VÄRNAMO</t>
        </is>
      </c>
      <c r="F211" t="inlineStr">
        <is>
          <t>Kyrkan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60481-2025</t>
        </is>
      </c>
      <c r="B212" s="1" t="n">
        <v>45995</v>
      </c>
      <c r="C212" s="1" t="n">
        <v>46196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60796-2025</t>
        </is>
      </c>
      <c r="B213" s="1" t="n">
        <v>45999</v>
      </c>
      <c r="C213" s="1" t="n">
        <v>46196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35283-2024</t>
        </is>
      </c>
      <c r="B214" s="1" t="n">
        <v>45530</v>
      </c>
      <c r="C214" s="1" t="n">
        <v>46196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60037-2022</t>
        </is>
      </c>
      <c r="B215" s="1" t="n">
        <v>44909</v>
      </c>
      <c r="C215" s="1" t="n">
        <v>46196</v>
      </c>
      <c r="D215" t="inlineStr">
        <is>
          <t>JÖNKÖPINGS LÄN</t>
        </is>
      </c>
      <c r="E215" t="inlineStr">
        <is>
          <t>VÄRNAMO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1239-2023</t>
        </is>
      </c>
      <c r="B216" s="1" t="n">
        <v>44936</v>
      </c>
      <c r="C216" s="1" t="n">
        <v>46196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13272-2025</t>
        </is>
      </c>
      <c r="B217" s="1" t="n">
        <v>45735</v>
      </c>
      <c r="C217" s="1" t="n">
        <v>46196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55493-2022</t>
        </is>
      </c>
      <c r="B218" s="1" t="n">
        <v>44887</v>
      </c>
      <c r="C218" s="1" t="n">
        <v>46196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40841-2024</t>
        </is>
      </c>
      <c r="B219" s="1" t="n">
        <v>45558</v>
      </c>
      <c r="C219" s="1" t="n">
        <v>46196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40847-2024</t>
        </is>
      </c>
      <c r="B220" s="1" t="n">
        <v>45558</v>
      </c>
      <c r="C220" s="1" t="n">
        <v>46196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61931-2025</t>
        </is>
      </c>
      <c r="B221" s="1" t="n">
        <v>46003</v>
      </c>
      <c r="C221" s="1" t="n">
        <v>46196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29382-2024</t>
        </is>
      </c>
      <c r="B222" s="1" t="n">
        <v>45483</v>
      </c>
      <c r="C222" s="1" t="n">
        <v>46196</v>
      </c>
      <c r="D222" t="inlineStr">
        <is>
          <t>JÖNKÖPINGS LÄN</t>
        </is>
      </c>
      <c r="E222" t="inlineStr">
        <is>
          <t>VÄRNAMO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61562-2025</t>
        </is>
      </c>
      <c r="B223" s="1" t="n">
        <v>46001</v>
      </c>
      <c r="C223" s="1" t="n">
        <v>46196</v>
      </c>
      <c r="D223" t="inlineStr">
        <is>
          <t>JÖNKÖPINGS LÄN</t>
        </is>
      </c>
      <c r="E223" t="inlineStr">
        <is>
          <t>VÄRNAMO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61565-2025</t>
        </is>
      </c>
      <c r="B224" s="1" t="n">
        <v>46001</v>
      </c>
      <c r="C224" s="1" t="n">
        <v>46196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</v>
      </c>
      <c r="C225" s="1" t="n">
        <v>46196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46196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62463-2025</t>
        </is>
      </c>
      <c r="B227" s="1" t="n">
        <v>46007</v>
      </c>
      <c r="C227" s="1" t="n">
        <v>46196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62178-2025</t>
        </is>
      </c>
      <c r="B228" s="1" t="n">
        <v>46006</v>
      </c>
      <c r="C228" s="1" t="n">
        <v>46196</v>
      </c>
      <c r="D228" t="inlineStr">
        <is>
          <t>JÖNKÖPINGS LÄN</t>
        </is>
      </c>
      <c r="E228" t="inlineStr">
        <is>
          <t>VÄRNAMO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62274-2025</t>
        </is>
      </c>
      <c r="B229" s="1" t="n">
        <v>46006</v>
      </c>
      <c r="C229" s="1" t="n">
        <v>46196</v>
      </c>
      <c r="D229" t="inlineStr">
        <is>
          <t>JÖNKÖPINGS LÄN</t>
        </is>
      </c>
      <c r="E229" t="inlineStr">
        <is>
          <t>VÄRNAMO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62302-2025</t>
        </is>
      </c>
      <c r="B230" s="1" t="n">
        <v>46006</v>
      </c>
      <c r="C230" s="1" t="n">
        <v>46196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62462-2025</t>
        </is>
      </c>
      <c r="B231" s="1" t="n">
        <v>46007</v>
      </c>
      <c r="C231" s="1" t="n">
        <v>46196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28523-2025</t>
        </is>
      </c>
      <c r="B232" s="1" t="n">
        <v>45819</v>
      </c>
      <c r="C232" s="1" t="n">
        <v>46196</v>
      </c>
      <c r="D232" t="inlineStr">
        <is>
          <t>JÖNKÖPINGS LÄN</t>
        </is>
      </c>
      <c r="E232" t="inlineStr">
        <is>
          <t>VÄRNAMO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18053-2025</t>
        </is>
      </c>
      <c r="B233" s="1" t="n">
        <v>45761</v>
      </c>
      <c r="C233" s="1" t="n">
        <v>46196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28890-2025</t>
        </is>
      </c>
      <c r="B234" s="1" t="n">
        <v>45820</v>
      </c>
      <c r="C234" s="1" t="n">
        <v>46196</v>
      </c>
      <c r="D234" t="inlineStr">
        <is>
          <t>JÖNKÖPINGS LÄN</t>
        </is>
      </c>
      <c r="E234" t="inlineStr">
        <is>
          <t>VÄRNAMO</t>
        </is>
      </c>
      <c r="F234" t="inlineStr">
        <is>
          <t>Kyrkan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46940-2022</t>
        </is>
      </c>
      <c r="B235" s="1" t="n">
        <v>44851</v>
      </c>
      <c r="C235" s="1" t="n">
        <v>46196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62655-2025</t>
        </is>
      </c>
      <c r="B236" s="1" t="n">
        <v>46008</v>
      </c>
      <c r="C236" s="1" t="n">
        <v>46196</v>
      </c>
      <c r="D236" t="inlineStr">
        <is>
          <t>JÖNKÖPINGS LÄN</t>
        </is>
      </c>
      <c r="E236" t="inlineStr">
        <is>
          <t>VÄRNAMO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4787-2024</t>
        </is>
      </c>
      <c r="B237" s="1" t="n">
        <v>45328</v>
      </c>
      <c r="C237" s="1" t="n">
        <v>46196</v>
      </c>
      <c r="D237" t="inlineStr">
        <is>
          <t>JÖNKÖPINGS LÄN</t>
        </is>
      </c>
      <c r="E237" t="inlineStr">
        <is>
          <t>VÄRNAMO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4788-2024</t>
        </is>
      </c>
      <c r="B238" s="1" t="n">
        <v>45328</v>
      </c>
      <c r="C238" s="1" t="n">
        <v>46196</v>
      </c>
      <c r="D238" t="inlineStr">
        <is>
          <t>JÖNKÖPINGS LÄN</t>
        </is>
      </c>
      <c r="E238" t="inlineStr">
        <is>
          <t>VÄRNAMO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49367-2025</t>
        </is>
      </c>
      <c r="B239" s="1" t="n">
        <v>45938</v>
      </c>
      <c r="C239" s="1" t="n">
        <v>46196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29685-2025</t>
        </is>
      </c>
      <c r="B240" s="1" t="n">
        <v>45825</v>
      </c>
      <c r="C240" s="1" t="n">
        <v>46196</v>
      </c>
      <c r="D240" t="inlineStr">
        <is>
          <t>JÖNKÖPINGS LÄN</t>
        </is>
      </c>
      <c r="E240" t="inlineStr">
        <is>
          <t>VÄRNAMO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63235-2025</t>
        </is>
      </c>
      <c r="B241" s="1" t="n">
        <v>46010</v>
      </c>
      <c r="C241" s="1" t="n">
        <v>46196</v>
      </c>
      <c r="D241" t="inlineStr">
        <is>
          <t>JÖNKÖPINGS LÄN</t>
        </is>
      </c>
      <c r="E241" t="inlineStr">
        <is>
          <t>VÄRNAMO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29683-2025</t>
        </is>
      </c>
      <c r="B242" s="1" t="n">
        <v>45825</v>
      </c>
      <c r="C242" s="1" t="n">
        <v>46196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39951-2024</t>
        </is>
      </c>
      <c r="B243" s="1" t="n">
        <v>45553</v>
      </c>
      <c r="C243" s="1" t="n">
        <v>46196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46868-2023</t>
        </is>
      </c>
      <c r="B244" s="1" t="n">
        <v>45200</v>
      </c>
      <c r="C244" s="1" t="n">
        <v>46196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1949-2024</t>
        </is>
      </c>
      <c r="B245" s="1" t="n">
        <v>45308</v>
      </c>
      <c r="C245" s="1" t="n">
        <v>46196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2040-2024</t>
        </is>
      </c>
      <c r="B246" s="1" t="n">
        <v>45308</v>
      </c>
      <c r="C246" s="1" t="n">
        <v>46196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50640-2025</t>
        </is>
      </c>
      <c r="B247" s="1" t="n">
        <v>45945</v>
      </c>
      <c r="C247" s="1" t="n">
        <v>46196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50550-2025</t>
        </is>
      </c>
      <c r="B248" s="1" t="n">
        <v>45945</v>
      </c>
      <c r="C248" s="1" t="n">
        <v>46196</v>
      </c>
      <c r="D248" t="inlineStr">
        <is>
          <t>JÖNKÖPINGS LÄN</t>
        </is>
      </c>
      <c r="E248" t="inlineStr">
        <is>
          <t>VÄRNAMO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30375-2025</t>
        </is>
      </c>
      <c r="B249" s="1" t="n">
        <v>45827</v>
      </c>
      <c r="C249" s="1" t="n">
        <v>46196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30119-2025</t>
        </is>
      </c>
      <c r="B250" s="1" t="n">
        <v>45826</v>
      </c>
      <c r="C250" s="1" t="n">
        <v>46196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13065-2025</t>
        </is>
      </c>
      <c r="B251" s="1" t="n">
        <v>45734</v>
      </c>
      <c r="C251" s="1" t="n">
        <v>46196</v>
      </c>
      <c r="D251" t="inlineStr">
        <is>
          <t>JÖNKÖPINGS LÄN</t>
        </is>
      </c>
      <c r="E251" t="inlineStr">
        <is>
          <t>VÄRNAMO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498-2026</t>
        </is>
      </c>
      <c r="B252" s="1" t="n">
        <v>46029</v>
      </c>
      <c r="C252" s="1" t="n">
        <v>46196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30685-2025</t>
        </is>
      </c>
      <c r="B253" s="1" t="n">
        <v>45831</v>
      </c>
      <c r="C253" s="1" t="n">
        <v>46196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43858-2023</t>
        </is>
      </c>
      <c r="B254" s="1" t="n">
        <v>45187</v>
      </c>
      <c r="C254" s="1" t="n">
        <v>46196</v>
      </c>
      <c r="D254" t="inlineStr">
        <is>
          <t>JÖNKÖPINGS LÄN</t>
        </is>
      </c>
      <c r="E254" t="inlineStr">
        <is>
          <t>VÄRNAMO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31238-2025</t>
        </is>
      </c>
      <c r="B255" s="1" t="n">
        <v>45832</v>
      </c>
      <c r="C255" s="1" t="n">
        <v>46196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986-2026</t>
        </is>
      </c>
      <c r="B256" s="1" t="n">
        <v>46030</v>
      </c>
      <c r="C256" s="1" t="n">
        <v>46196</v>
      </c>
      <c r="D256" t="inlineStr">
        <is>
          <t>JÖNKÖPINGS LÄN</t>
        </is>
      </c>
      <c r="E256" t="inlineStr">
        <is>
          <t>VÄRNAMO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1032-2026</t>
        </is>
      </c>
      <c r="B257" s="1" t="n">
        <v>46030</v>
      </c>
      <c r="C257" s="1" t="n">
        <v>46196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31214-2025</t>
        </is>
      </c>
      <c r="B258" s="1" t="n">
        <v>45832</v>
      </c>
      <c r="C258" s="1" t="n">
        <v>46196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31524-2025</t>
        </is>
      </c>
      <c r="B259" s="1" t="n">
        <v>45833</v>
      </c>
      <c r="C259" s="1" t="n">
        <v>46196</v>
      </c>
      <c r="D259" t="inlineStr">
        <is>
          <t>JÖNKÖPINGS LÄN</t>
        </is>
      </c>
      <c r="E259" t="inlineStr">
        <is>
          <t>VÄRNAMO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1630-2026</t>
        </is>
      </c>
      <c r="B260" s="1" t="n">
        <v>46034</v>
      </c>
      <c r="C260" s="1" t="n">
        <v>46196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26119-2025</t>
        </is>
      </c>
      <c r="B261" s="1" t="n">
        <v>45805</v>
      </c>
      <c r="C261" s="1" t="n">
        <v>46196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197-2025</t>
        </is>
      </c>
      <c r="B262" s="1" t="n">
        <v>45659</v>
      </c>
      <c r="C262" s="1" t="n">
        <v>46196</v>
      </c>
      <c r="D262" t="inlineStr">
        <is>
          <t>JÖNKÖPINGS LÄN</t>
        </is>
      </c>
      <c r="E262" t="inlineStr">
        <is>
          <t>VÄRNAMO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1597-2026</t>
        </is>
      </c>
      <c r="B263" s="1" t="n">
        <v>46034</v>
      </c>
      <c r="C263" s="1" t="n">
        <v>46196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1639-2026</t>
        </is>
      </c>
      <c r="B264" s="1" t="n">
        <v>46034</v>
      </c>
      <c r="C264" s="1" t="n">
        <v>46196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1643-2026</t>
        </is>
      </c>
      <c r="B265" s="1" t="n">
        <v>46034</v>
      </c>
      <c r="C265" s="1" t="n">
        <v>46196</v>
      </c>
      <c r="D265" t="inlineStr">
        <is>
          <t>JÖNKÖPINGS LÄN</t>
        </is>
      </c>
      <c r="E265" t="inlineStr">
        <is>
          <t>VÄRNAMO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1953-2026</t>
        </is>
      </c>
      <c r="B266" s="1" t="n">
        <v>46035</v>
      </c>
      <c r="C266" s="1" t="n">
        <v>46196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2450-2026</t>
        </is>
      </c>
      <c r="B267" s="1" t="n">
        <v>46037</v>
      </c>
      <c r="C267" s="1" t="n">
        <v>46196</v>
      </c>
      <c r="D267" t="inlineStr">
        <is>
          <t>JÖNKÖPINGS LÄN</t>
        </is>
      </c>
      <c r="E267" t="inlineStr">
        <is>
          <t>VÄRNAMO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2821-2026</t>
        </is>
      </c>
      <c r="B268" s="1" t="n">
        <v>46038</v>
      </c>
      <c r="C268" s="1" t="n">
        <v>46196</v>
      </c>
      <c r="D268" t="inlineStr">
        <is>
          <t>JÖNKÖPINGS LÄN</t>
        </is>
      </c>
      <c r="E268" t="inlineStr">
        <is>
          <t>VÄRNAMO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48697-2022</t>
        </is>
      </c>
      <c r="B269" s="1" t="n">
        <v>44859</v>
      </c>
      <c r="C269" s="1" t="n">
        <v>46196</v>
      </c>
      <c r="D269" t="inlineStr">
        <is>
          <t>JÖNKÖPINGS LÄN</t>
        </is>
      </c>
      <c r="E269" t="inlineStr">
        <is>
          <t>VÄRNAMO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2893-2026</t>
        </is>
      </c>
      <c r="B270" s="1" t="n">
        <v>46038</v>
      </c>
      <c r="C270" s="1" t="n">
        <v>46196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2823-2026</t>
        </is>
      </c>
      <c r="B271" s="1" t="n">
        <v>46038</v>
      </c>
      <c r="C271" s="1" t="n">
        <v>46196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2884-2026</t>
        </is>
      </c>
      <c r="B272" s="1" t="n">
        <v>46038</v>
      </c>
      <c r="C272" s="1" t="n">
        <v>46196</v>
      </c>
      <c r="D272" t="inlineStr">
        <is>
          <t>JÖNKÖPINGS LÄN</t>
        </is>
      </c>
      <c r="E272" t="inlineStr">
        <is>
          <t>VÄRNAMO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33377-2025</t>
        </is>
      </c>
      <c r="B273" s="1" t="n">
        <v>45841</v>
      </c>
      <c r="C273" s="1" t="n">
        <v>46196</v>
      </c>
      <c r="D273" t="inlineStr">
        <is>
          <t>JÖNKÖPINGS LÄN</t>
        </is>
      </c>
      <c r="E273" t="inlineStr">
        <is>
          <t>VÄRNAMO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33378-2025</t>
        </is>
      </c>
      <c r="B274" s="1" t="n">
        <v>45841</v>
      </c>
      <c r="C274" s="1" t="n">
        <v>46196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33383-2025</t>
        </is>
      </c>
      <c r="B275" s="1" t="n">
        <v>45841</v>
      </c>
      <c r="C275" s="1" t="n">
        <v>46196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33387-2025</t>
        </is>
      </c>
      <c r="B276" s="1" t="n">
        <v>45841</v>
      </c>
      <c r="C276" s="1" t="n">
        <v>46196</v>
      </c>
      <c r="D276" t="inlineStr">
        <is>
          <t>JÖNKÖPINGS LÄN</t>
        </is>
      </c>
      <c r="E276" t="inlineStr">
        <is>
          <t>VÄRNAMO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33363-2025</t>
        </is>
      </c>
      <c r="B277" s="1" t="n">
        <v>45841</v>
      </c>
      <c r="C277" s="1" t="n">
        <v>46196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33376-2025</t>
        </is>
      </c>
      <c r="B278" s="1" t="n">
        <v>45841</v>
      </c>
      <c r="C278" s="1" t="n">
        <v>46196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33354-2025</t>
        </is>
      </c>
      <c r="B279" s="1" t="n">
        <v>45841</v>
      </c>
      <c r="C279" s="1" t="n">
        <v>46196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3381-2026</t>
        </is>
      </c>
      <c r="B280" s="1" t="n">
        <v>46042</v>
      </c>
      <c r="C280" s="1" t="n">
        <v>46196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3380-2026</t>
        </is>
      </c>
      <c r="B281" s="1" t="n">
        <v>46042</v>
      </c>
      <c r="C281" s="1" t="n">
        <v>46196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34245-2025</t>
        </is>
      </c>
      <c r="B282" s="1" t="n">
        <v>45845</v>
      </c>
      <c r="C282" s="1" t="n">
        <v>46196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10435-2023</t>
        </is>
      </c>
      <c r="B283" s="1" t="n">
        <v>44981</v>
      </c>
      <c r="C283" s="1" t="n">
        <v>46196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3378-2026</t>
        </is>
      </c>
      <c r="B284" s="1" t="n">
        <v>46042</v>
      </c>
      <c r="C284" s="1" t="n">
        <v>46196</v>
      </c>
      <c r="D284" t="inlineStr">
        <is>
          <t>JÖNKÖPINGS LÄN</t>
        </is>
      </c>
      <c r="E284" t="inlineStr">
        <is>
          <t>VÄRNAMO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4432-2026</t>
        </is>
      </c>
      <c r="B285" s="1" t="n">
        <v>46045</v>
      </c>
      <c r="C285" s="1" t="n">
        <v>46196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4043-2026</t>
        </is>
      </c>
      <c r="B286" s="1" t="n">
        <v>46044</v>
      </c>
      <c r="C286" s="1" t="n">
        <v>46196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4431-2026</t>
        </is>
      </c>
      <c r="B287" s="1" t="n">
        <v>46045</v>
      </c>
      <c r="C287" s="1" t="n">
        <v>46196</v>
      </c>
      <c r="D287" t="inlineStr">
        <is>
          <t>JÖNKÖPINGS LÄN</t>
        </is>
      </c>
      <c r="E287" t="inlineStr">
        <is>
          <t>VÄRNAMO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4411-2026</t>
        </is>
      </c>
      <c r="B288" s="1" t="n">
        <v>46045</v>
      </c>
      <c r="C288" s="1" t="n">
        <v>46196</v>
      </c>
      <c r="D288" t="inlineStr">
        <is>
          <t>JÖNKÖPINGS LÄN</t>
        </is>
      </c>
      <c r="E288" t="inlineStr">
        <is>
          <t>VÄRNAMO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4424-2026</t>
        </is>
      </c>
      <c r="B289" s="1" t="n">
        <v>46045</v>
      </c>
      <c r="C289" s="1" t="n">
        <v>46196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47054-2024</t>
        </is>
      </c>
      <c r="B290" s="1" t="n">
        <v>45586</v>
      </c>
      <c r="C290" s="1" t="n">
        <v>46196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51351-2024</t>
        </is>
      </c>
      <c r="B291" s="1" t="n">
        <v>45604</v>
      </c>
      <c r="C291" s="1" t="n">
        <v>46196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5117-2026</t>
        </is>
      </c>
      <c r="B292" s="1" t="n">
        <v>46049</v>
      </c>
      <c r="C292" s="1" t="n">
        <v>46196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48658-2023</t>
        </is>
      </c>
      <c r="B293" s="1" t="n">
        <v>45208</v>
      </c>
      <c r="C293" s="1" t="n">
        <v>46196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35006-2025</t>
        </is>
      </c>
      <c r="B294" s="1" t="n">
        <v>45851</v>
      </c>
      <c r="C294" s="1" t="n">
        <v>46196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35007-2025</t>
        </is>
      </c>
      <c r="B295" s="1" t="n">
        <v>45851</v>
      </c>
      <c r="C295" s="1" t="n">
        <v>46196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5350-2026</t>
        </is>
      </c>
      <c r="B296" s="1" t="n">
        <v>46050</v>
      </c>
      <c r="C296" s="1" t="n">
        <v>46196</v>
      </c>
      <c r="D296" t="inlineStr">
        <is>
          <t>JÖNKÖPINGS LÄN</t>
        </is>
      </c>
      <c r="E296" t="inlineStr">
        <is>
          <t>VÄRNAMO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35268-2025</t>
        </is>
      </c>
      <c r="B297" s="1" t="n">
        <v>45853</v>
      </c>
      <c r="C297" s="1" t="n">
        <v>46196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35267-2025</t>
        </is>
      </c>
      <c r="B298" s="1" t="n">
        <v>45853</v>
      </c>
      <c r="C298" s="1" t="n">
        <v>46196</v>
      </c>
      <c r="D298" t="inlineStr">
        <is>
          <t>JÖNKÖPINGS LÄN</t>
        </is>
      </c>
      <c r="E298" t="inlineStr">
        <is>
          <t>VÄRNAMO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35263-2025</t>
        </is>
      </c>
      <c r="B299" s="1" t="n">
        <v>45853</v>
      </c>
      <c r="C299" s="1" t="n">
        <v>46196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15690-2025</t>
        </is>
      </c>
      <c r="B300" s="1" t="n">
        <v>45748</v>
      </c>
      <c r="C300" s="1" t="n">
        <v>46196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6190-2026</t>
        </is>
      </c>
      <c r="B301" s="1" t="n">
        <v>46055</v>
      </c>
      <c r="C301" s="1" t="n">
        <v>46196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33428-2021</t>
        </is>
      </c>
      <c r="B302" s="1" t="n">
        <v>44377</v>
      </c>
      <c r="C302" s="1" t="n">
        <v>46196</v>
      </c>
      <c r="D302" t="inlineStr">
        <is>
          <t>JÖNKÖPINGS LÄN</t>
        </is>
      </c>
      <c r="E302" t="inlineStr">
        <is>
          <t>VÄRNAMO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7430-2023</t>
        </is>
      </c>
      <c r="B303" s="1" t="n">
        <v>44971</v>
      </c>
      <c r="C303" s="1" t="n">
        <v>46196</v>
      </c>
      <c r="D303" t="inlineStr">
        <is>
          <t>JÖNKÖPINGS LÄN</t>
        </is>
      </c>
      <c r="E303" t="inlineStr">
        <is>
          <t>VÄRNAMO</t>
        </is>
      </c>
      <c r="F303" t="inlineStr">
        <is>
          <t>Kommuner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17323-2022</t>
        </is>
      </c>
      <c r="B304" s="1" t="n">
        <v>44678</v>
      </c>
      <c r="C304" s="1" t="n">
        <v>46196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7044-2026</t>
        </is>
      </c>
      <c r="B305" s="1" t="n">
        <v>46057</v>
      </c>
      <c r="C305" s="1" t="n">
        <v>46196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25481-2025</t>
        </is>
      </c>
      <c r="B306" s="1" t="n">
        <v>45802</v>
      </c>
      <c r="C306" s="1" t="n">
        <v>46196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36706-2025</t>
        </is>
      </c>
      <c r="B307" s="1" t="n">
        <v>45873</v>
      </c>
      <c r="C307" s="1" t="n">
        <v>46196</v>
      </c>
      <c r="D307" t="inlineStr">
        <is>
          <t>JÖNKÖPINGS LÄN</t>
        </is>
      </c>
      <c r="E307" t="inlineStr">
        <is>
          <t>VÄRNAMO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36662-2025</t>
        </is>
      </c>
      <c r="B308" s="1" t="n">
        <v>45873</v>
      </c>
      <c r="C308" s="1" t="n">
        <v>46196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7045-2026</t>
        </is>
      </c>
      <c r="B309" s="1" t="n">
        <v>46057</v>
      </c>
      <c r="C309" s="1" t="n">
        <v>46196</v>
      </c>
      <c r="D309" t="inlineStr">
        <is>
          <t>JÖNKÖPINGS LÄN</t>
        </is>
      </c>
      <c r="E309" t="inlineStr">
        <is>
          <t>VÄRNAMO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37353-2025</t>
        </is>
      </c>
      <c r="B310" s="1" t="n">
        <v>45876</v>
      </c>
      <c r="C310" s="1" t="n">
        <v>46196</v>
      </c>
      <c r="D310" t="inlineStr">
        <is>
          <t>JÖNKÖPINGS LÄN</t>
        </is>
      </c>
      <c r="E310" t="inlineStr">
        <is>
          <t>VÄRNAMO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35604-2024</t>
        </is>
      </c>
      <c r="B311" s="1" t="n">
        <v>45531</v>
      </c>
      <c r="C311" s="1" t="n">
        <v>46196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7834-2026</t>
        </is>
      </c>
      <c r="B312" s="1" t="n">
        <v>46062</v>
      </c>
      <c r="C312" s="1" t="n">
        <v>46196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7839-2026</t>
        </is>
      </c>
      <c r="B313" s="1" t="n">
        <v>46062</v>
      </c>
      <c r="C313" s="1" t="n">
        <v>46196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8169-2026</t>
        </is>
      </c>
      <c r="B314" s="1" t="n">
        <v>46064</v>
      </c>
      <c r="C314" s="1" t="n">
        <v>46196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8252-2026</t>
        </is>
      </c>
      <c r="B315" s="1" t="n">
        <v>46064</v>
      </c>
      <c r="C315" s="1" t="n">
        <v>46196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8625-2026</t>
        </is>
      </c>
      <c r="B316" s="1" t="n">
        <v>46066</v>
      </c>
      <c r="C316" s="1" t="n">
        <v>46196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8772-2026</t>
        </is>
      </c>
      <c r="B317" s="1" t="n">
        <v>46066</v>
      </c>
      <c r="C317" s="1" t="n">
        <v>46196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18721-2025</t>
        </is>
      </c>
      <c r="B318" s="1" t="n">
        <v>45763</v>
      </c>
      <c r="C318" s="1" t="n">
        <v>46196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45280-2024</t>
        </is>
      </c>
      <c r="B319" s="1" t="n">
        <v>45576</v>
      </c>
      <c r="C319" s="1" t="n">
        <v>46196</v>
      </c>
      <c r="D319" t="inlineStr">
        <is>
          <t>JÖNKÖPINGS LÄN</t>
        </is>
      </c>
      <c r="E319" t="inlineStr">
        <is>
          <t>VÄRNAMO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9972-2026</t>
        </is>
      </c>
      <c r="B320" s="1" t="n">
        <v>46073</v>
      </c>
      <c r="C320" s="1" t="n">
        <v>46196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9975-2026</t>
        </is>
      </c>
      <c r="B321" s="1" t="n">
        <v>46073</v>
      </c>
      <c r="C321" s="1" t="n">
        <v>46196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10030-2026</t>
        </is>
      </c>
      <c r="B322" s="1" t="n">
        <v>46073</v>
      </c>
      <c r="C322" s="1" t="n">
        <v>46196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9983-2026</t>
        </is>
      </c>
      <c r="B323" s="1" t="n">
        <v>46073</v>
      </c>
      <c r="C323" s="1" t="n">
        <v>46196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9970-2026</t>
        </is>
      </c>
      <c r="B324" s="1" t="n">
        <v>46073</v>
      </c>
      <c r="C324" s="1" t="n">
        <v>46196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9974-2026</t>
        </is>
      </c>
      <c r="B325" s="1" t="n">
        <v>46073</v>
      </c>
      <c r="C325" s="1" t="n">
        <v>46196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10031-2026</t>
        </is>
      </c>
      <c r="B326" s="1" t="n">
        <v>46073</v>
      </c>
      <c r="C326" s="1" t="n">
        <v>46196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10758-2026</t>
        </is>
      </c>
      <c r="B327" s="1" t="n">
        <v>46078</v>
      </c>
      <c r="C327" s="1" t="n">
        <v>46196</v>
      </c>
      <c r="D327" t="inlineStr">
        <is>
          <t>JÖNKÖPINGS LÄN</t>
        </is>
      </c>
      <c r="E327" t="inlineStr">
        <is>
          <t>VÄRNAMO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57119-2023</t>
        </is>
      </c>
      <c r="B328" s="1" t="n">
        <v>45245</v>
      </c>
      <c r="C328" s="1" t="n">
        <v>46196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34222-2024</t>
        </is>
      </c>
      <c r="B329" s="1" t="n">
        <v>45524</v>
      </c>
      <c r="C329" s="1" t="n">
        <v>46196</v>
      </c>
      <c r="D329" t="inlineStr">
        <is>
          <t>JÖNKÖPINGS LÄN</t>
        </is>
      </c>
      <c r="E329" t="inlineStr">
        <is>
          <t>VÄRNAMO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11263-2026</t>
        </is>
      </c>
      <c r="B330" s="1" t="n">
        <v>46080</v>
      </c>
      <c r="C330" s="1" t="n">
        <v>46196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11267-2026</t>
        </is>
      </c>
      <c r="B331" s="1" t="n">
        <v>46080</v>
      </c>
      <c r="C331" s="1" t="n">
        <v>46196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11015-2026</t>
        </is>
      </c>
      <c r="B332" s="1" t="n">
        <v>46079</v>
      </c>
      <c r="C332" s="1" t="n">
        <v>46196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11258-2026</t>
        </is>
      </c>
      <c r="B333" s="1" t="n">
        <v>46080</v>
      </c>
      <c r="C333" s="1" t="n">
        <v>46196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51472-2023</t>
        </is>
      </c>
      <c r="B334" s="1" t="n">
        <v>45221</v>
      </c>
      <c r="C334" s="1" t="n">
        <v>46196</v>
      </c>
      <c r="D334" t="inlineStr">
        <is>
          <t>JÖNKÖPINGS LÄN</t>
        </is>
      </c>
      <c r="E334" t="inlineStr">
        <is>
          <t>VÄRNAMO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58766-2022</t>
        </is>
      </c>
      <c r="B335" s="1" t="n">
        <v>44903</v>
      </c>
      <c r="C335" s="1" t="n">
        <v>46196</v>
      </c>
      <c r="D335" t="inlineStr">
        <is>
          <t>JÖNKÖPINGS LÄN</t>
        </is>
      </c>
      <c r="E335" t="inlineStr">
        <is>
          <t>VÄRNAMO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16026-2026</t>
        </is>
      </c>
      <c r="B336" s="1" t="n">
        <v>46108</v>
      </c>
      <c r="C336" s="1" t="n">
        <v>46196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45818-2022</t>
        </is>
      </c>
      <c r="B337" s="1" t="n">
        <v>44846</v>
      </c>
      <c r="C337" s="1" t="n">
        <v>46196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12092-2026</t>
        </is>
      </c>
      <c r="B338" s="1" t="n">
        <v>46086</v>
      </c>
      <c r="C338" s="1" t="n">
        <v>46196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12095-2026</t>
        </is>
      </c>
      <c r="B339" s="1" t="n">
        <v>46086</v>
      </c>
      <c r="C339" s="1" t="n">
        <v>46196</v>
      </c>
      <c r="D339" t="inlineStr">
        <is>
          <t>JÖNKÖPINGS LÄN</t>
        </is>
      </c>
      <c r="E339" t="inlineStr">
        <is>
          <t>VÄRNAMO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22268-2024</t>
        </is>
      </c>
      <c r="B340" s="1" t="n">
        <v>45446</v>
      </c>
      <c r="C340" s="1" t="n">
        <v>46196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44425-2023</t>
        </is>
      </c>
      <c r="B341" s="1" t="n">
        <v>45189</v>
      </c>
      <c r="C341" s="1" t="n">
        <v>46196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4429-2023</t>
        </is>
      </c>
      <c r="B342" s="1" t="n">
        <v>44956</v>
      </c>
      <c r="C342" s="1" t="n">
        <v>46196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6879-2022</t>
        </is>
      </c>
      <c r="B343" s="1" t="n">
        <v>44602</v>
      </c>
      <c r="C343" s="1" t="n">
        <v>46196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47738-2023</t>
        </is>
      </c>
      <c r="B344" s="1" t="n">
        <v>45203</v>
      </c>
      <c r="C344" s="1" t="n">
        <v>46196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13008-2026</t>
        </is>
      </c>
      <c r="B345" s="1" t="n">
        <v>46092</v>
      </c>
      <c r="C345" s="1" t="n">
        <v>46196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12852-2022</t>
        </is>
      </c>
      <c r="B346" s="1" t="n">
        <v>44642</v>
      </c>
      <c r="C346" s="1" t="n">
        <v>46196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12857-2022</t>
        </is>
      </c>
      <c r="B347" s="1" t="n">
        <v>44642</v>
      </c>
      <c r="C347" s="1" t="n">
        <v>46196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59229-2024</t>
        </is>
      </c>
      <c r="B348" s="1" t="n">
        <v>45637</v>
      </c>
      <c r="C348" s="1" t="n">
        <v>46196</v>
      </c>
      <c r="D348" t="inlineStr">
        <is>
          <t>JÖNKÖPINGS LÄN</t>
        </is>
      </c>
      <c r="E348" t="inlineStr">
        <is>
          <t>VÄRNAMO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13284-2026</t>
        </is>
      </c>
      <c r="B349" s="1" t="n">
        <v>46093</v>
      </c>
      <c r="C349" s="1" t="n">
        <v>46196</v>
      </c>
      <c r="D349" t="inlineStr">
        <is>
          <t>JÖNKÖPINGS LÄN</t>
        </is>
      </c>
      <c r="E349" t="inlineStr">
        <is>
          <t>VÄRNAMO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52780-2024</t>
        </is>
      </c>
      <c r="B350" s="1" t="n">
        <v>45610</v>
      </c>
      <c r="C350" s="1" t="n">
        <v>46196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14162-2026</t>
        </is>
      </c>
      <c r="B351" s="1" t="n">
        <v>46099</v>
      </c>
      <c r="C351" s="1" t="n">
        <v>46196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14246-2026</t>
        </is>
      </c>
      <c r="B352" s="1" t="n">
        <v>46099</v>
      </c>
      <c r="C352" s="1" t="n">
        <v>46196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2094-2022</t>
        </is>
      </c>
      <c r="B353" s="1" t="n">
        <v>44577</v>
      </c>
      <c r="C353" s="1" t="n">
        <v>46196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14698-2026</t>
        </is>
      </c>
      <c r="B354" s="1" t="n">
        <v>46101</v>
      </c>
      <c r="C354" s="1" t="n">
        <v>46196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47595-2024</t>
        </is>
      </c>
      <c r="B355" s="1" t="n">
        <v>45587</v>
      </c>
      <c r="C355" s="1" t="n">
        <v>46196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47603-2024</t>
        </is>
      </c>
      <c r="B356" s="1" t="n">
        <v>45587</v>
      </c>
      <c r="C356" s="1" t="n">
        <v>46196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15127-2026</t>
        </is>
      </c>
      <c r="B357" s="1" t="n">
        <v>46105</v>
      </c>
      <c r="C357" s="1" t="n">
        <v>46196</v>
      </c>
      <c r="D357" t="inlineStr">
        <is>
          <t>JÖNKÖPINGS LÄN</t>
        </is>
      </c>
      <c r="E357" t="inlineStr">
        <is>
          <t>VÄRNAMO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15130-2026</t>
        </is>
      </c>
      <c r="B358" s="1" t="n">
        <v>46105</v>
      </c>
      <c r="C358" s="1" t="n">
        <v>46196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511-2022</t>
        </is>
      </c>
      <c r="B359" s="1" t="n">
        <v>44566</v>
      </c>
      <c r="C359" s="1" t="n">
        <v>46196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39639-2023</t>
        </is>
      </c>
      <c r="B360" s="1" t="n">
        <v>45167</v>
      </c>
      <c r="C360" s="1" t="n">
        <v>46196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24703-2022</t>
        </is>
      </c>
      <c r="B361" s="1" t="n">
        <v>44727</v>
      </c>
      <c r="C361" s="1" t="n">
        <v>46196</v>
      </c>
      <c r="D361" t="inlineStr">
        <is>
          <t>JÖNKÖPINGS LÄN</t>
        </is>
      </c>
      <c r="E361" t="inlineStr">
        <is>
          <t>VÄRNAMO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22071-2023</t>
        </is>
      </c>
      <c r="B362" s="1" t="n">
        <v>45069</v>
      </c>
      <c r="C362" s="1" t="n">
        <v>46196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22836-2026</t>
        </is>
      </c>
      <c r="B363" s="1" t="n">
        <v>46160</v>
      </c>
      <c r="C363" s="1" t="n">
        <v>46196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15101-2026</t>
        </is>
      </c>
      <c r="B364" s="1" t="n">
        <v>46101</v>
      </c>
      <c r="C364" s="1" t="n">
        <v>46196</v>
      </c>
      <c r="D364" t="inlineStr">
        <is>
          <t>JÖNKÖPINGS LÄN</t>
        </is>
      </c>
      <c r="E364" t="inlineStr">
        <is>
          <t>VÄRNAMO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15105-2026</t>
        </is>
      </c>
      <c r="B365" s="1" t="n">
        <v>46101</v>
      </c>
      <c r="C365" s="1" t="n">
        <v>46196</v>
      </c>
      <c r="D365" t="inlineStr">
        <is>
          <t>JÖNKÖPINGS LÄN</t>
        </is>
      </c>
      <c r="E365" t="inlineStr">
        <is>
          <t>VÄRNAMO</t>
        </is>
      </c>
      <c r="G365" t="n">
        <v>58.2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23314-2026</t>
        </is>
      </c>
      <c r="B366" s="1" t="n">
        <v>46162</v>
      </c>
      <c r="C366" s="1" t="n">
        <v>46196</v>
      </c>
      <c r="D366" t="inlineStr">
        <is>
          <t>JÖNKÖPINGS LÄN</t>
        </is>
      </c>
      <c r="E366" t="inlineStr">
        <is>
          <t>VÄRNAMO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48289-2024</t>
        </is>
      </c>
      <c r="B367" s="1" t="n">
        <v>45590</v>
      </c>
      <c r="C367" s="1" t="n">
        <v>46196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24036-2026</t>
        </is>
      </c>
      <c r="B368" s="1" t="n">
        <v>46167</v>
      </c>
      <c r="C368" s="1" t="n">
        <v>46196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23951-2026</t>
        </is>
      </c>
      <c r="B369" s="1" t="n">
        <v>46167</v>
      </c>
      <c r="C369" s="1" t="n">
        <v>46196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24032-2026</t>
        </is>
      </c>
      <c r="B370" s="1" t="n">
        <v>46167</v>
      </c>
      <c r="C370" s="1" t="n">
        <v>46196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24028-2026</t>
        </is>
      </c>
      <c r="B371" s="1" t="n">
        <v>46167</v>
      </c>
      <c r="C371" s="1" t="n">
        <v>46196</v>
      </c>
      <c r="D371" t="inlineStr">
        <is>
          <t>JÖNKÖPINGS LÄN</t>
        </is>
      </c>
      <c r="E371" t="inlineStr">
        <is>
          <t>VÄRNAMO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18441-2026</t>
        </is>
      </c>
      <c r="B372" s="1" t="n">
        <v>46127</v>
      </c>
      <c r="C372" s="1" t="n">
        <v>46196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18509-2026</t>
        </is>
      </c>
      <c r="B373" s="1" t="n">
        <v>46127</v>
      </c>
      <c r="C373" s="1" t="n">
        <v>46196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18493-2026</t>
        </is>
      </c>
      <c r="B374" s="1" t="n">
        <v>46127</v>
      </c>
      <c r="C374" s="1" t="n">
        <v>46196</v>
      </c>
      <c r="D374" t="inlineStr">
        <is>
          <t>JÖNKÖPINGS LÄN</t>
        </is>
      </c>
      <c r="E374" t="inlineStr">
        <is>
          <t>VÄRNAMO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62276-2023</t>
        </is>
      </c>
      <c r="B375" s="1" t="n">
        <v>45267</v>
      </c>
      <c r="C375" s="1" t="n">
        <v>46196</v>
      </c>
      <c r="D375" t="inlineStr">
        <is>
          <t>JÖNKÖPINGS LÄN</t>
        </is>
      </c>
      <c r="E375" t="inlineStr">
        <is>
          <t>VÄRNAMO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11213-2024</t>
        </is>
      </c>
      <c r="B376" s="1" t="n">
        <v>45371</v>
      </c>
      <c r="C376" s="1" t="n">
        <v>46196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24809-2026</t>
        </is>
      </c>
      <c r="B377" s="1" t="n">
        <v>46172</v>
      </c>
      <c r="C377" s="1" t="n">
        <v>46196</v>
      </c>
      <c r="D377" t="inlineStr">
        <is>
          <t>JÖNKÖPINGS LÄN</t>
        </is>
      </c>
      <c r="E377" t="inlineStr">
        <is>
          <t>VÄRNAMO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25543-2026</t>
        </is>
      </c>
      <c r="B378" s="1" t="n">
        <v>46177</v>
      </c>
      <c r="C378" s="1" t="n">
        <v>46196</v>
      </c>
      <c r="D378" t="inlineStr">
        <is>
          <t>JÖNKÖPINGS LÄN</t>
        </is>
      </c>
      <c r="E378" t="inlineStr">
        <is>
          <t>VÄRNAMO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43782-2025</t>
        </is>
      </c>
      <c r="B379" s="1" t="n">
        <v>45912</v>
      </c>
      <c r="C379" s="1" t="n">
        <v>46196</v>
      </c>
      <c r="D379" t="inlineStr">
        <is>
          <t>JÖNKÖPINGS LÄN</t>
        </is>
      </c>
      <c r="E379" t="inlineStr">
        <is>
          <t>VÄRNAMO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33407-2024</t>
        </is>
      </c>
      <c r="B380" s="1" t="n">
        <v>45519</v>
      </c>
      <c r="C380" s="1" t="n">
        <v>46196</v>
      </c>
      <c r="D380" t="inlineStr">
        <is>
          <t>JÖNKÖPINGS LÄN</t>
        </is>
      </c>
      <c r="E380" t="inlineStr">
        <is>
          <t>VÄRNAMO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11206-2025</t>
        </is>
      </c>
      <c r="B381" s="1" t="n">
        <v>45726</v>
      </c>
      <c r="C381" s="1" t="n">
        <v>46196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52883-2025</t>
        </is>
      </c>
      <c r="B382" s="1" t="n">
        <v>45957</v>
      </c>
      <c r="C382" s="1" t="n">
        <v>46196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17704-2025</t>
        </is>
      </c>
      <c r="B383" s="1" t="n">
        <v>45758</v>
      </c>
      <c r="C383" s="1" t="n">
        <v>46196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44721-2025</t>
        </is>
      </c>
      <c r="B384" s="1" t="n">
        <v>45917</v>
      </c>
      <c r="C384" s="1" t="n">
        <v>46196</v>
      </c>
      <c r="D384" t="inlineStr">
        <is>
          <t>JÖNKÖPINGS LÄN</t>
        </is>
      </c>
      <c r="E384" t="inlineStr">
        <is>
          <t>VÄRNAMO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54704-2025</t>
        </is>
      </c>
      <c r="B385" s="1" t="n">
        <v>45966</v>
      </c>
      <c r="C385" s="1" t="n">
        <v>46196</v>
      </c>
      <c r="D385" t="inlineStr">
        <is>
          <t>JÖNKÖPINGS LÄN</t>
        </is>
      </c>
      <c r="E385" t="inlineStr">
        <is>
          <t>VÄRNAMO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39452-2025</t>
        </is>
      </c>
      <c r="B386" s="1" t="n">
        <v>45889</v>
      </c>
      <c r="C386" s="1" t="n">
        <v>46196</v>
      </c>
      <c r="D386" t="inlineStr">
        <is>
          <t>JÖNKÖPINGS LÄN</t>
        </is>
      </c>
      <c r="E386" t="inlineStr">
        <is>
          <t>VÄRNAMO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20249-2026</t>
        </is>
      </c>
      <c r="B387" s="1" t="n">
        <v>46139</v>
      </c>
      <c r="C387" s="1" t="n">
        <v>46196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43162-2024</t>
        </is>
      </c>
      <c r="B388" s="1" t="n">
        <v>45567</v>
      </c>
      <c r="C388" s="1" t="n">
        <v>46196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36724-2025</t>
        </is>
      </c>
      <c r="B389" s="1" t="n">
        <v>45873</v>
      </c>
      <c r="C389" s="1" t="n">
        <v>46196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42475-2025</t>
        </is>
      </c>
      <c r="B390" s="1" t="n">
        <v>45905</v>
      </c>
      <c r="C390" s="1" t="n">
        <v>46196</v>
      </c>
      <c r="D390" t="inlineStr">
        <is>
          <t>JÖNKÖPINGS LÄN</t>
        </is>
      </c>
      <c r="E390" t="inlineStr">
        <is>
          <t>VÄRNAMO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33348-2025</t>
        </is>
      </c>
      <c r="B391" s="1" t="n">
        <v>45841</v>
      </c>
      <c r="C391" s="1" t="n">
        <v>46196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33315-2025</t>
        </is>
      </c>
      <c r="B392" s="1" t="n">
        <v>45841</v>
      </c>
      <c r="C392" s="1" t="n">
        <v>46196</v>
      </c>
      <c r="D392" t="inlineStr">
        <is>
          <t>JÖNKÖPINGS LÄN</t>
        </is>
      </c>
      <c r="E392" t="inlineStr">
        <is>
          <t>VÄRNAMO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22086-2025</t>
        </is>
      </c>
      <c r="B393" s="1" t="n">
        <v>45785</v>
      </c>
      <c r="C393" s="1" t="n">
        <v>46196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48615-2025</t>
        </is>
      </c>
      <c r="B394" s="1" t="n">
        <v>45936</v>
      </c>
      <c r="C394" s="1" t="n">
        <v>46196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1273-2025</t>
        </is>
      </c>
      <c r="B395" s="1" t="n">
        <v>45667</v>
      </c>
      <c r="C395" s="1" t="n">
        <v>46196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27415-2025</t>
        </is>
      </c>
      <c r="B396" s="1" t="n">
        <v>45812</v>
      </c>
      <c r="C396" s="1" t="n">
        <v>46196</v>
      </c>
      <c r="D396" t="inlineStr">
        <is>
          <t>JÖNKÖPINGS LÄN</t>
        </is>
      </c>
      <c r="E396" t="inlineStr">
        <is>
          <t>VÄRNAMO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26547-2026</t>
        </is>
      </c>
      <c r="B397" s="1" t="n">
        <v>46183</v>
      </c>
      <c r="C397" s="1" t="n">
        <v>46196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33369-2025</t>
        </is>
      </c>
      <c r="B398" s="1" t="n">
        <v>45841</v>
      </c>
      <c r="C398" s="1" t="n">
        <v>46196</v>
      </c>
      <c r="D398" t="inlineStr">
        <is>
          <t>JÖNKÖPINGS LÄN</t>
        </is>
      </c>
      <c r="E398" t="inlineStr">
        <is>
          <t>VÄRNAMO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500-2025</t>
        </is>
      </c>
      <c r="B399" s="1" t="n">
        <v>45664</v>
      </c>
      <c r="C399" s="1" t="n">
        <v>46196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31793-2024</t>
        </is>
      </c>
      <c r="B400" s="1" t="n">
        <v>45509</v>
      </c>
      <c r="C400" s="1" t="n">
        <v>46196</v>
      </c>
      <c r="D400" t="inlineStr">
        <is>
          <t>JÖNKÖPINGS LÄN</t>
        </is>
      </c>
      <c r="E400" t="inlineStr">
        <is>
          <t>VÄRNAMO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37293-2025</t>
        </is>
      </c>
      <c r="B401" s="1" t="n">
        <v>45876</v>
      </c>
      <c r="C401" s="1" t="n">
        <v>46196</v>
      </c>
      <c r="D401" t="inlineStr">
        <is>
          <t>JÖNKÖPINGS LÄN</t>
        </is>
      </c>
      <c r="E401" t="inlineStr">
        <is>
          <t>VÄRNAMO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30345-2025</t>
        </is>
      </c>
      <c r="B402" s="1" t="n">
        <v>45827</v>
      </c>
      <c r="C402" s="1" t="n">
        <v>46196</v>
      </c>
      <c r="D402" t="inlineStr">
        <is>
          <t>JÖNKÖPINGS LÄN</t>
        </is>
      </c>
      <c r="E402" t="inlineStr">
        <is>
          <t>VÄRNAMO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26222-2026</t>
        </is>
      </c>
      <c r="B403" s="1" t="n">
        <v>46182</v>
      </c>
      <c r="C403" s="1" t="n">
        <v>46196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47643-2023</t>
        </is>
      </c>
      <c r="B404" s="1" t="n">
        <v>45203</v>
      </c>
      <c r="C404" s="1" t="n">
        <v>46196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15122-2026</t>
        </is>
      </c>
      <c r="B405" s="1" t="n">
        <v>46105</v>
      </c>
      <c r="C405" s="1" t="n">
        <v>46196</v>
      </c>
      <c r="D405" t="inlineStr">
        <is>
          <t>JÖNKÖPINGS LÄN</t>
        </is>
      </c>
      <c r="E405" t="inlineStr">
        <is>
          <t>VÄRNAMO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26691-2026</t>
        </is>
      </c>
      <c r="B406" s="1" t="n">
        <v>46184</v>
      </c>
      <c r="C406" s="1" t="n">
        <v>46196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26930-2026</t>
        </is>
      </c>
      <c r="B407" s="1" t="n">
        <v>46185</v>
      </c>
      <c r="C407" s="1" t="n">
        <v>46196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44677-2022</t>
        </is>
      </c>
      <c r="B408" s="1" t="n">
        <v>44840</v>
      </c>
      <c r="C408" s="1" t="n">
        <v>46196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27508-2026</t>
        </is>
      </c>
      <c r="B409" s="1" t="n">
        <v>46189</v>
      </c>
      <c r="C409" s="1" t="n">
        <v>46196</v>
      </c>
      <c r="D409" t="inlineStr">
        <is>
          <t>JÖNKÖPINGS LÄN</t>
        </is>
      </c>
      <c r="E409" t="inlineStr">
        <is>
          <t>VÄRNAMO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27216-2026</t>
        </is>
      </c>
      <c r="B410" s="1" t="n">
        <v>46188</v>
      </c>
      <c r="C410" s="1" t="n">
        <v>46196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27218-2026</t>
        </is>
      </c>
      <c r="B411" s="1" t="n">
        <v>46188</v>
      </c>
      <c r="C411" s="1" t="n">
        <v>46196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27153-2026</t>
        </is>
      </c>
      <c r="B412" s="1" t="n">
        <v>46188</v>
      </c>
      <c r="C412" s="1" t="n">
        <v>46196</v>
      </c>
      <c r="D412" t="inlineStr">
        <is>
          <t>JÖNKÖPINGS LÄN</t>
        </is>
      </c>
      <c r="E412" t="inlineStr">
        <is>
          <t>VÄRNAMO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27154-2026</t>
        </is>
      </c>
      <c r="B413" s="1" t="n">
        <v>46188</v>
      </c>
      <c r="C413" s="1" t="n">
        <v>46196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27156-2026</t>
        </is>
      </c>
      <c r="B414" s="1" t="n">
        <v>46188</v>
      </c>
      <c r="C414" s="1" t="n">
        <v>46196</v>
      </c>
      <c r="D414" t="inlineStr">
        <is>
          <t>JÖNKÖPINGS LÄN</t>
        </is>
      </c>
      <c r="E414" t="inlineStr">
        <is>
          <t>VÄRNAMO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27692-2026</t>
        </is>
      </c>
      <c r="B415" s="1" t="n">
        <v>46190</v>
      </c>
      <c r="C415" s="1" t="n">
        <v>46196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27713-2026</t>
        </is>
      </c>
      <c r="B416" s="1" t="n">
        <v>46190</v>
      </c>
      <c r="C416" s="1" t="n">
        <v>46196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27802-2026</t>
        </is>
      </c>
      <c r="B417" s="1" t="n">
        <v>46191</v>
      </c>
      <c r="C417" s="1" t="n">
        <v>46196</v>
      </c>
      <c r="D417" t="inlineStr">
        <is>
          <t>JÖNKÖPINGS LÄN</t>
        </is>
      </c>
      <c r="E417" t="inlineStr">
        <is>
          <t>VÄRNAMO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27941-2026</t>
        </is>
      </c>
      <c r="B418" s="1" t="n">
        <v>46191</v>
      </c>
      <c r="C418" s="1" t="n">
        <v>46196</v>
      </c>
      <c r="D418" t="inlineStr">
        <is>
          <t>JÖNKÖPINGS LÄN</t>
        </is>
      </c>
      <c r="E418" t="inlineStr">
        <is>
          <t>VÄRNAMO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13930-2026</t>
        </is>
      </c>
      <c r="B419" s="1" t="n">
        <v>46098</v>
      </c>
      <c r="C419" s="1" t="n">
        <v>46196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27908-2026</t>
        </is>
      </c>
      <c r="B420" s="1" t="n">
        <v>46191</v>
      </c>
      <c r="C420" s="1" t="n">
        <v>46196</v>
      </c>
      <c r="D420" t="inlineStr">
        <is>
          <t>JÖNKÖPINGS LÄN</t>
        </is>
      </c>
      <c r="E420" t="inlineStr">
        <is>
          <t>VÄRNAMO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27863-2026</t>
        </is>
      </c>
      <c r="B421" s="1" t="n">
        <v>46191</v>
      </c>
      <c r="C421" s="1" t="n">
        <v>46196</v>
      </c>
      <c r="D421" t="inlineStr">
        <is>
          <t>JÖNKÖPINGS LÄN</t>
        </is>
      </c>
      <c r="E421" t="inlineStr">
        <is>
          <t>VÄRNAMO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27869-2026</t>
        </is>
      </c>
      <c r="B422" s="1" t="n">
        <v>46191</v>
      </c>
      <c r="C422" s="1" t="n">
        <v>46196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27685-2026</t>
        </is>
      </c>
      <c r="B423" s="1" t="n">
        <v>46190</v>
      </c>
      <c r="C423" s="1" t="n">
        <v>46196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27916-2026</t>
        </is>
      </c>
      <c r="B424" s="1" t="n">
        <v>46191</v>
      </c>
      <c r="C424" s="1" t="n">
        <v>46196</v>
      </c>
      <c r="D424" t="inlineStr">
        <is>
          <t>JÖNKÖPINGS LÄN</t>
        </is>
      </c>
      <c r="E424" t="inlineStr">
        <is>
          <t>VÄRNAMO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28019-2026</t>
        </is>
      </c>
      <c r="B425" s="1" t="n">
        <v>46195</v>
      </c>
      <c r="C425" s="1" t="n">
        <v>46196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13285-2026</t>
        </is>
      </c>
      <c r="B426" s="1" t="n">
        <v>46093</v>
      </c>
      <c r="C426" s="1" t="n">
        <v>46196</v>
      </c>
      <c r="D426" t="inlineStr">
        <is>
          <t>JÖNKÖPINGS LÄN</t>
        </is>
      </c>
      <c r="E426" t="inlineStr">
        <is>
          <t>VÄRNAMO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28013-2026</t>
        </is>
      </c>
      <c r="B427" s="1" t="n">
        <v>46195</v>
      </c>
      <c r="C427" s="1" t="n">
        <v>46196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28016-2026</t>
        </is>
      </c>
      <c r="B428" s="1" t="n">
        <v>46195</v>
      </c>
      <c r="C428" s="1" t="n">
        <v>46196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28015-2026</t>
        </is>
      </c>
      <c r="B429" s="1" t="n">
        <v>46195</v>
      </c>
      <c r="C429" s="1" t="n">
        <v>46196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27950-2026</t>
        </is>
      </c>
      <c r="B430" s="1" t="n">
        <v>46193</v>
      </c>
      <c r="C430" s="1" t="n">
        <v>46196</v>
      </c>
      <c r="D430" t="inlineStr">
        <is>
          <t>JÖNKÖPINGS LÄN</t>
        </is>
      </c>
      <c r="E430" t="inlineStr">
        <is>
          <t>VÄRNAMO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28017-2026</t>
        </is>
      </c>
      <c r="B431" s="1" t="n">
        <v>46195</v>
      </c>
      <c r="C431" s="1" t="n">
        <v>46196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42575-2022</t>
        </is>
      </c>
      <c r="B432" s="1" t="n">
        <v>44831</v>
      </c>
      <c r="C432" s="1" t="n">
        <v>46196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28011-2026</t>
        </is>
      </c>
      <c r="B433" s="1" t="n">
        <v>46195</v>
      </c>
      <c r="C433" s="1" t="n">
        <v>46196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28007-2026</t>
        </is>
      </c>
      <c r="B434" s="1" t="n">
        <v>46195</v>
      </c>
      <c r="C434" s="1" t="n">
        <v>46196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28010-2026</t>
        </is>
      </c>
      <c r="B435" s="1" t="n">
        <v>46195</v>
      </c>
      <c r="C435" s="1" t="n">
        <v>46196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42242-2024</t>
        </is>
      </c>
      <c r="B436" s="1" t="n">
        <v>45562</v>
      </c>
      <c r="C436" s="1" t="n">
        <v>46196</v>
      </c>
      <c r="D436" t="inlineStr">
        <is>
          <t>JÖNKÖPINGS LÄN</t>
        </is>
      </c>
      <c r="E436" t="inlineStr">
        <is>
          <t>VÄRNAMO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52191-2023</t>
        </is>
      </c>
      <c r="B437" s="1" t="n">
        <v>45217</v>
      </c>
      <c r="C437" s="1" t="n">
        <v>46196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4792-2024</t>
        </is>
      </c>
      <c r="B438" s="1" t="n">
        <v>45328</v>
      </c>
      <c r="C438" s="1" t="n">
        <v>46196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57371-2023</t>
        </is>
      </c>
      <c r="B439" s="1" t="n">
        <v>45245</v>
      </c>
      <c r="C439" s="1" t="n">
        <v>46196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4185-2024</t>
        </is>
      </c>
      <c r="B440" s="1" t="n">
        <v>45324</v>
      </c>
      <c r="C440" s="1" t="n">
        <v>46196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23838-2022</t>
        </is>
      </c>
      <c r="B441" s="1" t="n">
        <v>44722</v>
      </c>
      <c r="C441" s="1" t="n">
        <v>46196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1655-2025</t>
        </is>
      </c>
      <c r="B442" s="1" t="n">
        <v>45670</v>
      </c>
      <c r="C442" s="1" t="n">
        <v>46196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45120-2023</t>
        </is>
      </c>
      <c r="B443" s="1" t="n">
        <v>45191</v>
      </c>
      <c r="C443" s="1" t="n">
        <v>46196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61351-2023</t>
        </is>
      </c>
      <c r="B444" s="1" t="n">
        <v>45264</v>
      </c>
      <c r="C444" s="1" t="n">
        <v>46196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26276-2023</t>
        </is>
      </c>
      <c r="B445" s="1" t="n">
        <v>45091</v>
      </c>
      <c r="C445" s="1" t="n">
        <v>46196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59757-2021</t>
        </is>
      </c>
      <c r="B446" s="1" t="n">
        <v>44494</v>
      </c>
      <c r="C446" s="1" t="n">
        <v>46196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46196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46196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3017-2025</t>
        </is>
      </c>
      <c r="B449" s="1" t="n">
        <v>45678</v>
      </c>
      <c r="C449" s="1" t="n">
        <v>46196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23836-2022</t>
        </is>
      </c>
      <c r="B450" s="1" t="n">
        <v>44722</v>
      </c>
      <c r="C450" s="1" t="n">
        <v>46196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45104-2024</t>
        </is>
      </c>
      <c r="B451" s="1" t="n">
        <v>45575</v>
      </c>
      <c r="C451" s="1" t="n">
        <v>46196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9836-2023</t>
        </is>
      </c>
      <c r="B452" s="1" t="n">
        <v>44984</v>
      </c>
      <c r="C452" s="1" t="n">
        <v>46196</v>
      </c>
      <c r="D452" t="inlineStr">
        <is>
          <t>JÖNKÖPINGS LÄN</t>
        </is>
      </c>
      <c r="E452" t="inlineStr">
        <is>
          <t>VÄRNAMO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54000-2021</t>
        </is>
      </c>
      <c r="B453" s="1" t="n">
        <v>44470</v>
      </c>
      <c r="C453" s="1" t="n">
        <v>46196</v>
      </c>
      <c r="D453" t="inlineStr">
        <is>
          <t>JÖNKÖPINGS LÄN</t>
        </is>
      </c>
      <c r="E453" t="inlineStr">
        <is>
          <t>VÄRNAMO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31730-2024</t>
        </is>
      </c>
      <c r="B454" s="1" t="n">
        <v>45509</v>
      </c>
      <c r="C454" s="1" t="n">
        <v>46196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41460-2023</t>
        </is>
      </c>
      <c r="B455" s="1" t="n">
        <v>45175</v>
      </c>
      <c r="C455" s="1" t="n">
        <v>46196</v>
      </c>
      <c r="D455" t="inlineStr">
        <is>
          <t>JÖNKÖPINGS LÄN</t>
        </is>
      </c>
      <c r="E455" t="inlineStr">
        <is>
          <t>VÄRNAMO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42817-2024</t>
        </is>
      </c>
      <c r="B456" s="1" t="n">
        <v>45566</v>
      </c>
      <c r="C456" s="1" t="n">
        <v>46196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60178-2024</t>
        </is>
      </c>
      <c r="B457" s="1" t="n">
        <v>45642</v>
      </c>
      <c r="C457" s="1" t="n">
        <v>46196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40486-2022</t>
        </is>
      </c>
      <c r="B458" s="1" t="n">
        <v>44823</v>
      </c>
      <c r="C458" s="1" t="n">
        <v>46196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48664-2023</t>
        </is>
      </c>
      <c r="B459" s="1" t="n">
        <v>45208</v>
      </c>
      <c r="C459" s="1" t="n">
        <v>46196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32879-2023</t>
        </is>
      </c>
      <c r="B460" s="1" t="n">
        <v>45124</v>
      </c>
      <c r="C460" s="1" t="n">
        <v>46196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20316-2023</t>
        </is>
      </c>
      <c r="B461" s="1" t="n">
        <v>45056</v>
      </c>
      <c r="C461" s="1" t="n">
        <v>46196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54519-2021</t>
        </is>
      </c>
      <c r="B462" s="1" t="n">
        <v>44473</v>
      </c>
      <c r="C462" s="1" t="n">
        <v>46196</v>
      </c>
      <c r="D462" t="inlineStr">
        <is>
          <t>JÖNKÖPINGS LÄN</t>
        </is>
      </c>
      <c r="E462" t="inlineStr">
        <is>
          <t>VÄRNAMO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6673-2023</t>
        </is>
      </c>
      <c r="B463" s="1" t="n">
        <v>44966</v>
      </c>
      <c r="C463" s="1" t="n">
        <v>46196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63443-2023</t>
        </is>
      </c>
      <c r="B464" s="1" t="n">
        <v>45274</v>
      </c>
      <c r="C464" s="1" t="n">
        <v>46196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53131-2023</t>
        </is>
      </c>
      <c r="B465" s="1" t="n">
        <v>45229</v>
      </c>
      <c r="C465" s="1" t="n">
        <v>46196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51430-2021</t>
        </is>
      </c>
      <c r="B466" s="1" t="n">
        <v>44461</v>
      </c>
      <c r="C466" s="1" t="n">
        <v>46196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36410-2023</t>
        </is>
      </c>
      <c r="B467" s="1" t="n">
        <v>45149</v>
      </c>
      <c r="C467" s="1" t="n">
        <v>46196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863-2023</t>
        </is>
      </c>
      <c r="B468" s="1" t="n">
        <v>44931</v>
      </c>
      <c r="C468" s="1" t="n">
        <v>46196</v>
      </c>
      <c r="D468" t="inlineStr">
        <is>
          <t>JÖNKÖPINGS LÄN</t>
        </is>
      </c>
      <c r="E468" t="inlineStr">
        <is>
          <t>VÄRNAMO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4076-2025</t>
        </is>
      </c>
      <c r="B469" s="1" t="n">
        <v>45684</v>
      </c>
      <c r="C469" s="1" t="n">
        <v>46196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18801-2023</t>
        </is>
      </c>
      <c r="B470" s="1" t="n">
        <v>45044</v>
      </c>
      <c r="C470" s="1" t="n">
        <v>46196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55749-2023</t>
        </is>
      </c>
      <c r="B471" s="1" t="n">
        <v>45239</v>
      </c>
      <c r="C471" s="1" t="n">
        <v>46196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3562-2024</t>
        </is>
      </c>
      <c r="B472" s="1" t="n">
        <v>45320</v>
      </c>
      <c r="C472" s="1" t="n">
        <v>46196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60988-2023</t>
        </is>
      </c>
      <c r="B473" s="1" t="n">
        <v>45261</v>
      </c>
      <c r="C473" s="1" t="n">
        <v>46196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11386-2023</t>
        </is>
      </c>
      <c r="B474" s="1" t="n">
        <v>44993</v>
      </c>
      <c r="C474" s="1" t="n">
        <v>46196</v>
      </c>
      <c r="D474" t="inlineStr">
        <is>
          <t>JÖNKÖPINGS LÄN</t>
        </is>
      </c>
      <c r="E474" t="inlineStr">
        <is>
          <t>VÄRNAMO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46676-2021</t>
        </is>
      </c>
      <c r="B475" s="1" t="n">
        <v>44445</v>
      </c>
      <c r="C475" s="1" t="n">
        <v>46196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54477-2022</t>
        </is>
      </c>
      <c r="B476" s="1" t="n">
        <v>44882</v>
      </c>
      <c r="C476" s="1" t="n">
        <v>46196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30617-2023</t>
        </is>
      </c>
      <c r="B477" s="1" t="n">
        <v>45112</v>
      </c>
      <c r="C477" s="1" t="n">
        <v>46196</v>
      </c>
      <c r="D477" t="inlineStr">
        <is>
          <t>JÖNKÖPINGS LÄN</t>
        </is>
      </c>
      <c r="E477" t="inlineStr">
        <is>
          <t>VÄRNAMO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1208-2025</t>
        </is>
      </c>
      <c r="B478" s="1" t="n">
        <v>45667</v>
      </c>
      <c r="C478" s="1" t="n">
        <v>46196</v>
      </c>
      <c r="D478" t="inlineStr">
        <is>
          <t>JÖNKÖPINGS LÄN</t>
        </is>
      </c>
      <c r="E478" t="inlineStr">
        <is>
          <t>VÄRNAMO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9038-2025</t>
        </is>
      </c>
      <c r="B479" s="1" t="n">
        <v>45713</v>
      </c>
      <c r="C479" s="1" t="n">
        <v>46196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29089-2023</t>
        </is>
      </c>
      <c r="B480" s="1" t="n">
        <v>45105</v>
      </c>
      <c r="C480" s="1" t="n">
        <v>46196</v>
      </c>
      <c r="D480" t="inlineStr">
        <is>
          <t>JÖNKÖPINGS LÄN</t>
        </is>
      </c>
      <c r="E480" t="inlineStr">
        <is>
          <t>VÄRNAMO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29090-2023</t>
        </is>
      </c>
      <c r="B481" s="1" t="n">
        <v>45105</v>
      </c>
      <c r="C481" s="1" t="n">
        <v>46196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18600-2023</t>
        </is>
      </c>
      <c r="B482" s="1" t="n">
        <v>45043</v>
      </c>
      <c r="C482" s="1" t="n">
        <v>46196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11382-2024</t>
        </is>
      </c>
      <c r="B483" s="1" t="n">
        <v>45372</v>
      </c>
      <c r="C483" s="1" t="n">
        <v>46196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15248-2024</t>
        </is>
      </c>
      <c r="B484" s="1" t="n">
        <v>45400</v>
      </c>
      <c r="C484" s="1" t="n">
        <v>46196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51474-2023</t>
        </is>
      </c>
      <c r="B485" s="1" t="n">
        <v>45221</v>
      </c>
      <c r="C485" s="1" t="n">
        <v>46196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60097-2024</t>
        </is>
      </c>
      <c r="B486" s="1" t="n">
        <v>45642</v>
      </c>
      <c r="C486" s="1" t="n">
        <v>46196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7130-2023</t>
        </is>
      </c>
      <c r="B487" s="1" t="n">
        <v>44970</v>
      </c>
      <c r="C487" s="1" t="n">
        <v>46196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63027-2023</t>
        </is>
      </c>
      <c r="B488" s="1" t="n">
        <v>45272</v>
      </c>
      <c r="C488" s="1" t="n">
        <v>46196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10682-2024</t>
        </is>
      </c>
      <c r="B489" s="1" t="n">
        <v>45369</v>
      </c>
      <c r="C489" s="1" t="n">
        <v>46196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12306-2023</t>
        </is>
      </c>
      <c r="B490" s="1" t="n">
        <v>44998</v>
      </c>
      <c r="C490" s="1" t="n">
        <v>46196</v>
      </c>
      <c r="D490" t="inlineStr">
        <is>
          <t>JÖNKÖPINGS LÄN</t>
        </is>
      </c>
      <c r="E490" t="inlineStr">
        <is>
          <t>VÄRNAMO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7727-2022</t>
        </is>
      </c>
      <c r="B491" s="1" t="n">
        <v>44608</v>
      </c>
      <c r="C491" s="1" t="n">
        <v>46196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22296-2024</t>
        </is>
      </c>
      <c r="B492" s="1" t="n">
        <v>45446</v>
      </c>
      <c r="C492" s="1" t="n">
        <v>46196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8968-2024</t>
        </is>
      </c>
      <c r="B493" s="1" t="n">
        <v>45357</v>
      </c>
      <c r="C493" s="1" t="n">
        <v>46196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12892-2022</t>
        </is>
      </c>
      <c r="B494" s="1" t="n">
        <v>44642</v>
      </c>
      <c r="C494" s="1" t="n">
        <v>46196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17220-2025</t>
        </is>
      </c>
      <c r="B495" s="1" t="n">
        <v>45756</v>
      </c>
      <c r="C495" s="1" t="n">
        <v>46196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18735-2025</t>
        </is>
      </c>
      <c r="B496" s="1" t="n">
        <v>45763</v>
      </c>
      <c r="C496" s="1" t="n">
        <v>46196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30712-2024</t>
        </is>
      </c>
      <c r="B497" s="1" t="n">
        <v>45496</v>
      </c>
      <c r="C497" s="1" t="n">
        <v>46196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61321-2023</t>
        </is>
      </c>
      <c r="B498" s="1" t="n">
        <v>45264</v>
      </c>
      <c r="C498" s="1" t="n">
        <v>46196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9992-2023</t>
        </is>
      </c>
      <c r="B499" s="1" t="n">
        <v>44985</v>
      </c>
      <c r="C499" s="1" t="n">
        <v>46196</v>
      </c>
      <c r="D499" t="inlineStr">
        <is>
          <t>JÖNKÖPINGS LÄN</t>
        </is>
      </c>
      <c r="E499" t="inlineStr">
        <is>
          <t>VÄRNAMO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15630-2023</t>
        </is>
      </c>
      <c r="B500" s="1" t="n">
        <v>45021</v>
      </c>
      <c r="C500" s="1" t="n">
        <v>46196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15536-2024</t>
        </is>
      </c>
      <c r="B501" s="1" t="n">
        <v>45401</v>
      </c>
      <c r="C501" s="1" t="n">
        <v>46196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74102-2021</t>
        </is>
      </c>
      <c r="B502" s="1" t="n">
        <v>44557</v>
      </c>
      <c r="C502" s="1" t="n">
        <v>46196</v>
      </c>
      <c r="D502" t="inlineStr">
        <is>
          <t>JÖNKÖPINGS LÄN</t>
        </is>
      </c>
      <c r="E502" t="inlineStr">
        <is>
          <t>VÄRNAMO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63915-2023</t>
        </is>
      </c>
      <c r="B503" s="1" t="n">
        <v>45278</v>
      </c>
      <c r="C503" s="1" t="n">
        <v>46196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54254-2021</t>
        </is>
      </c>
      <c r="B504" s="1" t="n">
        <v>44470</v>
      </c>
      <c r="C504" s="1" t="n">
        <v>46196</v>
      </c>
      <c r="D504" t="inlineStr">
        <is>
          <t>JÖNKÖPINGS LÄN</t>
        </is>
      </c>
      <c r="E504" t="inlineStr">
        <is>
          <t>VÄRNAMO</t>
        </is>
      </c>
      <c r="F504" t="inlineStr">
        <is>
          <t>Övriga Aktiebolag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16445-2023</t>
        </is>
      </c>
      <c r="B505" s="1" t="n">
        <v>45029</v>
      </c>
      <c r="C505" s="1" t="n">
        <v>46196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71233-2021</t>
        </is>
      </c>
      <c r="B506" s="1" t="n">
        <v>44539</v>
      </c>
      <c r="C506" s="1" t="n">
        <v>46196</v>
      </c>
      <c r="D506" t="inlineStr">
        <is>
          <t>JÖNKÖPINGS LÄN</t>
        </is>
      </c>
      <c r="E506" t="inlineStr">
        <is>
          <t>VÄRNAMO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37899-2023</t>
        </is>
      </c>
      <c r="B507" s="1" t="n">
        <v>45160</v>
      </c>
      <c r="C507" s="1" t="n">
        <v>46196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4586-2025</t>
        </is>
      </c>
      <c r="B508" s="1" t="n">
        <v>45687</v>
      </c>
      <c r="C508" s="1" t="n">
        <v>46196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86-2023</t>
        </is>
      </c>
      <c r="B509" s="1" t="n">
        <v>44928</v>
      </c>
      <c r="C509" s="1" t="n">
        <v>46196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51893-2024</t>
        </is>
      </c>
      <c r="B510" s="1" t="n">
        <v>45607</v>
      </c>
      <c r="C510" s="1" t="n">
        <v>46196</v>
      </c>
      <c r="D510" t="inlineStr">
        <is>
          <t>JÖNKÖPINGS LÄN</t>
        </is>
      </c>
      <c r="E510" t="inlineStr">
        <is>
          <t>VÄRNAMO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52104-2024</t>
        </is>
      </c>
      <c r="B511" s="1" t="n">
        <v>45608</v>
      </c>
      <c r="C511" s="1" t="n">
        <v>46196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40779-2024</t>
        </is>
      </c>
      <c r="B512" s="1" t="n">
        <v>45558</v>
      </c>
      <c r="C512" s="1" t="n">
        <v>46196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55606-2024</t>
        </is>
      </c>
      <c r="B513" s="1" t="n">
        <v>45622</v>
      </c>
      <c r="C513" s="1" t="n">
        <v>46196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7298-2023</t>
        </is>
      </c>
      <c r="B514" s="1" t="n">
        <v>44970</v>
      </c>
      <c r="C514" s="1" t="n">
        <v>46196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46863-2023</t>
        </is>
      </c>
      <c r="B515" s="1" t="n">
        <v>45200</v>
      </c>
      <c r="C515" s="1" t="n">
        <v>46196</v>
      </c>
      <c r="D515" t="inlineStr">
        <is>
          <t>JÖNKÖPINGS LÄN</t>
        </is>
      </c>
      <c r="E515" t="inlineStr">
        <is>
          <t>VÄRNAMO</t>
        </is>
      </c>
      <c r="F515" t="inlineStr">
        <is>
          <t>Övriga Aktiebolag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29459-2023</t>
        </is>
      </c>
      <c r="B516" s="1" t="n">
        <v>45106</v>
      </c>
      <c r="C516" s="1" t="n">
        <v>46196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18434-2022</t>
        </is>
      </c>
      <c r="B517" s="1" t="n">
        <v>44686</v>
      </c>
      <c r="C517" s="1" t="n">
        <v>46196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2199-2023</t>
        </is>
      </c>
      <c r="B518" s="1" t="n">
        <v>44942</v>
      </c>
      <c r="C518" s="1" t="n">
        <v>46196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17328-2024</t>
        </is>
      </c>
      <c r="B519" s="1" t="n">
        <v>45414</v>
      </c>
      <c r="C519" s="1" t="n">
        <v>46196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63430-2023</t>
        </is>
      </c>
      <c r="B520" s="1" t="n">
        <v>45274</v>
      </c>
      <c r="C520" s="1" t="n">
        <v>46196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46196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1246-2024</t>
        </is>
      </c>
      <c r="B522" s="1" t="n">
        <v>45302</v>
      </c>
      <c r="C522" s="1" t="n">
        <v>46196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48040-2024</t>
        </is>
      </c>
      <c r="B523" s="1" t="n">
        <v>45589</v>
      </c>
      <c r="C523" s="1" t="n">
        <v>46196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7070-2025</t>
        </is>
      </c>
      <c r="B524" s="1" t="n">
        <v>45701</v>
      </c>
      <c r="C524" s="1" t="n">
        <v>46196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31429-2024</t>
        </is>
      </c>
      <c r="B525" s="1" t="n">
        <v>45505</v>
      </c>
      <c r="C525" s="1" t="n">
        <v>46196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62232-2023</t>
        </is>
      </c>
      <c r="B526" s="1" t="n">
        <v>45267</v>
      </c>
      <c r="C526" s="1" t="n">
        <v>46196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47822-2023</t>
        </is>
      </c>
      <c r="B527" s="1" t="n">
        <v>45204</v>
      </c>
      <c r="C527" s="1" t="n">
        <v>46196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61345-2023</t>
        </is>
      </c>
      <c r="B528" s="1" t="n">
        <v>45264</v>
      </c>
      <c r="C528" s="1" t="n">
        <v>46196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13861-2023</t>
        </is>
      </c>
      <c r="B529" s="1" t="n">
        <v>45007</v>
      </c>
      <c r="C529" s="1" t="n">
        <v>46196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37083-2023</t>
        </is>
      </c>
      <c r="B530" s="1" t="n">
        <v>45154</v>
      </c>
      <c r="C530" s="1" t="n">
        <v>46196</v>
      </c>
      <c r="D530" t="inlineStr">
        <is>
          <t>JÖNKÖPINGS LÄN</t>
        </is>
      </c>
      <c r="E530" t="inlineStr">
        <is>
          <t>VÄRNAMO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21874-2024</t>
        </is>
      </c>
      <c r="B531" s="1" t="n">
        <v>45443</v>
      </c>
      <c r="C531" s="1" t="n">
        <v>46196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29471-2023</t>
        </is>
      </c>
      <c r="B532" s="1" t="n">
        <v>45106</v>
      </c>
      <c r="C532" s="1" t="n">
        <v>46196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1158-2024</t>
        </is>
      </c>
      <c r="B533" s="1" t="n">
        <v>45302</v>
      </c>
      <c r="C533" s="1" t="n">
        <v>46196</v>
      </c>
      <c r="D533" t="inlineStr">
        <is>
          <t>JÖNKÖPINGS LÄN</t>
        </is>
      </c>
      <c r="E533" t="inlineStr">
        <is>
          <t>VÄRNAMO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14353-2022</t>
        </is>
      </c>
      <c r="B534" s="1" t="n">
        <v>44652</v>
      </c>
      <c r="C534" s="1" t="n">
        <v>46196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22855-2023</t>
        </is>
      </c>
      <c r="B535" s="1" t="n">
        <v>45072</v>
      </c>
      <c r="C535" s="1" t="n">
        <v>46196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62794-2023</t>
        </is>
      </c>
      <c r="B536" s="1" t="n">
        <v>45271</v>
      </c>
      <c r="C536" s="1" t="n">
        <v>46196</v>
      </c>
      <c r="D536" t="inlineStr">
        <is>
          <t>JÖNKÖPINGS LÄN</t>
        </is>
      </c>
      <c r="E536" t="inlineStr">
        <is>
          <t>VÄRNAMO</t>
        </is>
      </c>
      <c r="F536" t="inlineStr">
        <is>
          <t>Kommuner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38484-2023</t>
        </is>
      </c>
      <c r="B537" s="1" t="n">
        <v>45162</v>
      </c>
      <c r="C537" s="1" t="n">
        <v>46196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38501-2023</t>
        </is>
      </c>
      <c r="B538" s="1" t="n">
        <v>45162</v>
      </c>
      <c r="C538" s="1" t="n">
        <v>46196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19250-2025</t>
        </is>
      </c>
      <c r="B539" s="1" t="n">
        <v>45769</v>
      </c>
      <c r="C539" s="1" t="n">
        <v>46196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47921-2023</t>
        </is>
      </c>
      <c r="B540" s="1" t="n">
        <v>45204</v>
      </c>
      <c r="C540" s="1" t="n">
        <v>46196</v>
      </c>
      <c r="D540" t="inlineStr">
        <is>
          <t>JÖNKÖPINGS LÄN</t>
        </is>
      </c>
      <c r="E540" t="inlineStr">
        <is>
          <t>VÄRNAMO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27888-2024</t>
        </is>
      </c>
      <c r="B541" s="1" t="n">
        <v>45475</v>
      </c>
      <c r="C541" s="1" t="n">
        <v>46196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27527-2024</t>
        </is>
      </c>
      <c r="B542" s="1" t="n">
        <v>45474</v>
      </c>
      <c r="C542" s="1" t="n">
        <v>46196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11723-2023</t>
        </is>
      </c>
      <c r="B543" s="1" t="n">
        <v>44994</v>
      </c>
      <c r="C543" s="1" t="n">
        <v>46196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31746-2024</t>
        </is>
      </c>
      <c r="B544" s="1" t="n">
        <v>45509</v>
      </c>
      <c r="C544" s="1" t="n">
        <v>46196</v>
      </c>
      <c r="D544" t="inlineStr">
        <is>
          <t>JÖNKÖPINGS LÄN</t>
        </is>
      </c>
      <c r="E544" t="inlineStr">
        <is>
          <t>VÄRNAMO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1916-2024</t>
        </is>
      </c>
      <c r="B545" s="1" t="n">
        <v>45308</v>
      </c>
      <c r="C545" s="1" t="n">
        <v>46196</v>
      </c>
      <c r="D545" t="inlineStr">
        <is>
          <t>JÖNKÖPINGS LÄN</t>
        </is>
      </c>
      <c r="E545" t="inlineStr">
        <is>
          <t>VÄRNAMO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29162-2023</t>
        </is>
      </c>
      <c r="B546" s="1" t="n">
        <v>45105</v>
      </c>
      <c r="C546" s="1" t="n">
        <v>46196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29168-2023</t>
        </is>
      </c>
      <c r="B547" s="1" t="n">
        <v>45105</v>
      </c>
      <c r="C547" s="1" t="n">
        <v>46196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3051-2025</t>
        </is>
      </c>
      <c r="B548" s="1" t="n">
        <v>45678</v>
      </c>
      <c r="C548" s="1" t="n">
        <v>46196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57858-2024</t>
        </is>
      </c>
      <c r="B549" s="1" t="n">
        <v>45631</v>
      </c>
      <c r="C549" s="1" t="n">
        <v>46196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14439-2023</t>
        </is>
      </c>
      <c r="B550" s="1" t="n">
        <v>45012</v>
      </c>
      <c r="C550" s="1" t="n">
        <v>46196</v>
      </c>
      <c r="D550" t="inlineStr">
        <is>
          <t>JÖNKÖPINGS LÄN</t>
        </is>
      </c>
      <c r="E550" t="inlineStr">
        <is>
          <t>VÄRNAMO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23922-2023</t>
        </is>
      </c>
      <c r="B551" s="1" t="n">
        <v>45078</v>
      </c>
      <c r="C551" s="1" t="n">
        <v>46196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8913-2024</t>
        </is>
      </c>
      <c r="B552" s="1" t="n">
        <v>45357</v>
      </c>
      <c r="C552" s="1" t="n">
        <v>46196</v>
      </c>
      <c r="D552" t="inlineStr">
        <is>
          <t>JÖNKÖPINGS LÄN</t>
        </is>
      </c>
      <c r="E552" t="inlineStr">
        <is>
          <t>VÄRNAMO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46196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18539-2025</t>
        </is>
      </c>
      <c r="B554" s="1" t="n">
        <v>45763</v>
      </c>
      <c r="C554" s="1" t="n">
        <v>46196</v>
      </c>
      <c r="D554" t="inlineStr">
        <is>
          <t>JÖNKÖPINGS LÄN</t>
        </is>
      </c>
      <c r="E554" t="inlineStr">
        <is>
          <t>VÄRNAMO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45824-2022</t>
        </is>
      </c>
      <c r="B555" s="1" t="n">
        <v>44846</v>
      </c>
      <c r="C555" s="1" t="n">
        <v>46196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33048-2024</t>
        </is>
      </c>
      <c r="B556" s="1" t="n">
        <v>45517</v>
      </c>
      <c r="C556" s="1" t="n">
        <v>46196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9040-2025</t>
        </is>
      </c>
      <c r="B557" s="1" t="n">
        <v>45713</v>
      </c>
      <c r="C557" s="1" t="n">
        <v>46196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68171-2021</t>
        </is>
      </c>
      <c r="B558" s="1" t="n">
        <v>44526</v>
      </c>
      <c r="C558" s="1" t="n">
        <v>46196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11210-2024</t>
        </is>
      </c>
      <c r="B559" s="1" t="n">
        <v>45371</v>
      </c>
      <c r="C559" s="1" t="n">
        <v>46196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55373-2023</t>
        </is>
      </c>
      <c r="B560" s="1" t="n">
        <v>45238</v>
      </c>
      <c r="C560" s="1" t="n">
        <v>46196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37902-2023</t>
        </is>
      </c>
      <c r="B561" s="1" t="n">
        <v>45160</v>
      </c>
      <c r="C561" s="1" t="n">
        <v>46196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51294-2023</t>
        </is>
      </c>
      <c r="B562" s="1" t="n">
        <v>45219</v>
      </c>
      <c r="C562" s="1" t="n">
        <v>46196</v>
      </c>
      <c r="D562" t="inlineStr">
        <is>
          <t>JÖNKÖPINGS LÄN</t>
        </is>
      </c>
      <c r="E562" t="inlineStr">
        <is>
          <t>VÄRNAMO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53533-2023</t>
        </is>
      </c>
      <c r="B563" s="1" t="n">
        <v>45223</v>
      </c>
      <c r="C563" s="1" t="n">
        <v>46196</v>
      </c>
      <c r="D563" t="inlineStr">
        <is>
          <t>JÖNKÖPINGS LÄN</t>
        </is>
      </c>
      <c r="E563" t="inlineStr">
        <is>
          <t>VÄRNAMO</t>
        </is>
      </c>
      <c r="F563" t="inlineStr">
        <is>
          <t>Kyrkan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52156-2023</t>
        </is>
      </c>
      <c r="B564" s="1" t="n">
        <v>45224</v>
      </c>
      <c r="C564" s="1" t="n">
        <v>46196</v>
      </c>
      <c r="D564" t="inlineStr">
        <is>
          <t>JÖNKÖPINGS LÄN</t>
        </is>
      </c>
      <c r="E564" t="inlineStr">
        <is>
          <t>VÄRNAMO</t>
        </is>
      </c>
      <c r="F564" t="inlineStr">
        <is>
          <t>Övriga Aktiebolag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61503-2021</t>
        </is>
      </c>
      <c r="B565" s="1" t="n">
        <v>44501</v>
      </c>
      <c r="C565" s="1" t="n">
        <v>46196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31346-2023</t>
        </is>
      </c>
      <c r="B566" s="1" t="n">
        <v>45114</v>
      </c>
      <c r="C566" s="1" t="n">
        <v>46196</v>
      </c>
      <c r="D566" t="inlineStr">
        <is>
          <t>JÖNKÖPINGS LÄN</t>
        </is>
      </c>
      <c r="E566" t="inlineStr">
        <is>
          <t>VÄRNAMO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2423-2025</t>
        </is>
      </c>
      <c r="B567" s="1" t="n">
        <v>45674</v>
      </c>
      <c r="C567" s="1" t="n">
        <v>46196</v>
      </c>
      <c r="D567" t="inlineStr">
        <is>
          <t>JÖNKÖPINGS LÄN</t>
        </is>
      </c>
      <c r="E567" t="inlineStr">
        <is>
          <t>VÄRNAMO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2435-2025</t>
        </is>
      </c>
      <c r="B568" s="1" t="n">
        <v>45674</v>
      </c>
      <c r="C568" s="1" t="n">
        <v>46196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42366-2024</t>
        </is>
      </c>
      <c r="B569" s="1" t="n">
        <v>45563</v>
      </c>
      <c r="C569" s="1" t="n">
        <v>46196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3866-2022</t>
        </is>
      </c>
      <c r="B570" s="1" t="n">
        <v>44587</v>
      </c>
      <c r="C570" s="1" t="n">
        <v>46196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56402-2023</t>
        </is>
      </c>
      <c r="B571" s="1" t="n">
        <v>45243</v>
      </c>
      <c r="C571" s="1" t="n">
        <v>46196</v>
      </c>
      <c r="D571" t="inlineStr">
        <is>
          <t>JÖNKÖPINGS LÄN</t>
        </is>
      </c>
      <c r="E571" t="inlineStr">
        <is>
          <t>VÄRNAMO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56421-2023</t>
        </is>
      </c>
      <c r="B572" s="1" t="n">
        <v>45243</v>
      </c>
      <c r="C572" s="1" t="n">
        <v>46196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41206-2023</t>
        </is>
      </c>
      <c r="B573" s="1" t="n">
        <v>45174</v>
      </c>
      <c r="C573" s="1" t="n">
        <v>46196</v>
      </c>
      <c r="D573" t="inlineStr">
        <is>
          <t>JÖNKÖPINGS LÄN</t>
        </is>
      </c>
      <c r="E573" t="inlineStr">
        <is>
          <t>VÄRNAMO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74310-2021</t>
        </is>
      </c>
      <c r="B574" s="1" t="n">
        <v>44559</v>
      </c>
      <c r="C574" s="1" t="n">
        <v>46196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63924-2023</t>
        </is>
      </c>
      <c r="B575" s="1" t="n">
        <v>45278</v>
      </c>
      <c r="C575" s="1" t="n">
        <v>46196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46867-2023</t>
        </is>
      </c>
      <c r="B576" s="1" t="n">
        <v>45200</v>
      </c>
      <c r="C576" s="1" t="n">
        <v>46196</v>
      </c>
      <c r="D576" t="inlineStr">
        <is>
          <t>JÖNKÖPINGS LÄN</t>
        </is>
      </c>
      <c r="E576" t="inlineStr">
        <is>
          <t>VÄRNAMO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39965-2022</t>
        </is>
      </c>
      <c r="B577" s="1" t="n">
        <v>44820</v>
      </c>
      <c r="C577" s="1" t="n">
        <v>46196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40696-2023</t>
        </is>
      </c>
      <c r="B578" s="1" t="n">
        <v>45170</v>
      </c>
      <c r="C578" s="1" t="n">
        <v>46196</v>
      </c>
      <c r="D578" t="inlineStr">
        <is>
          <t>JÖNKÖPINGS LÄN</t>
        </is>
      </c>
      <c r="E578" t="inlineStr">
        <is>
          <t>VÄRNAMO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60248-2023</t>
        </is>
      </c>
      <c r="B579" s="1" t="n">
        <v>45258</v>
      </c>
      <c r="C579" s="1" t="n">
        <v>46196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14031-2024</t>
        </is>
      </c>
      <c r="B580" s="1" t="n">
        <v>45392</v>
      </c>
      <c r="C580" s="1" t="n">
        <v>46196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26986-2023</t>
        </is>
      </c>
      <c r="B581" s="1" t="n">
        <v>45093</v>
      </c>
      <c r="C581" s="1" t="n">
        <v>46196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11428-2024</t>
        </is>
      </c>
      <c r="B582" s="1" t="n">
        <v>45372</v>
      </c>
      <c r="C582" s="1" t="n">
        <v>46196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61108-2024</t>
        </is>
      </c>
      <c r="B583" s="1" t="n">
        <v>45645</v>
      </c>
      <c r="C583" s="1" t="n">
        <v>46196</v>
      </c>
      <c r="D583" t="inlineStr">
        <is>
          <t>JÖNKÖPINGS LÄN</t>
        </is>
      </c>
      <c r="E583" t="inlineStr">
        <is>
          <t>VÄRNAMO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16164-2024</t>
        </is>
      </c>
      <c r="B584" s="1" t="n">
        <v>45406</v>
      </c>
      <c r="C584" s="1" t="n">
        <v>46196</v>
      </c>
      <c r="D584" t="inlineStr">
        <is>
          <t>JÖNKÖPINGS LÄN</t>
        </is>
      </c>
      <c r="E584" t="inlineStr">
        <is>
          <t>VÄRNAMO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63656-2023</t>
        </is>
      </c>
      <c r="B585" s="1" t="n">
        <v>45275</v>
      </c>
      <c r="C585" s="1" t="n">
        <v>46196</v>
      </c>
      <c r="D585" t="inlineStr">
        <is>
          <t>JÖNKÖPINGS LÄN</t>
        </is>
      </c>
      <c r="E585" t="inlineStr">
        <is>
          <t>VÄRNAMO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18892-2025</t>
        </is>
      </c>
      <c r="B586" s="1" t="n">
        <v>45764</v>
      </c>
      <c r="C586" s="1" t="n">
        <v>46196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49605-2024</t>
        </is>
      </c>
      <c r="B587" s="1" t="n">
        <v>45596</v>
      </c>
      <c r="C587" s="1" t="n">
        <v>46196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45444-2023</t>
        </is>
      </c>
      <c r="B588" s="1" t="n">
        <v>45194</v>
      </c>
      <c r="C588" s="1" t="n">
        <v>46196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25102-2022</t>
        </is>
      </c>
      <c r="B589" s="1" t="n">
        <v>44729</v>
      </c>
      <c r="C589" s="1" t="n">
        <v>46196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45095-2024</t>
        </is>
      </c>
      <c r="B590" s="1" t="n">
        <v>45575</v>
      </c>
      <c r="C590" s="1" t="n">
        <v>46196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3296-2023</t>
        </is>
      </c>
      <c r="B591" s="1" t="n">
        <v>44949</v>
      </c>
      <c r="C591" s="1" t="n">
        <v>46196</v>
      </c>
      <c r="D591" t="inlineStr">
        <is>
          <t>JÖNKÖPINGS LÄN</t>
        </is>
      </c>
      <c r="E591" t="inlineStr">
        <is>
          <t>VÄRNAMO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62573-2023</t>
        </is>
      </c>
      <c r="B592" s="1" t="n">
        <v>45270</v>
      </c>
      <c r="C592" s="1" t="n">
        <v>46196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56272-2022</t>
        </is>
      </c>
      <c r="B593" s="1" t="n">
        <v>44890</v>
      </c>
      <c r="C593" s="1" t="n">
        <v>46196</v>
      </c>
      <c r="D593" t="inlineStr">
        <is>
          <t>JÖNKÖPINGS LÄN</t>
        </is>
      </c>
      <c r="E593" t="inlineStr">
        <is>
          <t>VÄRNAMO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29166-2023</t>
        </is>
      </c>
      <c r="B594" s="1" t="n">
        <v>45105</v>
      </c>
      <c r="C594" s="1" t="n">
        <v>46196</v>
      </c>
      <c r="D594" t="inlineStr">
        <is>
          <t>JÖNKÖPINGS LÄN</t>
        </is>
      </c>
      <c r="E594" t="inlineStr">
        <is>
          <t>VÄRNAMO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2501-2025</t>
        </is>
      </c>
      <c r="B595" s="1" t="n">
        <v>45674</v>
      </c>
      <c r="C595" s="1" t="n">
        <v>46196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14211-2023</t>
        </is>
      </c>
      <c r="B596" s="1" t="n">
        <v>45009</v>
      </c>
      <c r="C596" s="1" t="n">
        <v>46196</v>
      </c>
      <c r="D596" t="inlineStr">
        <is>
          <t>JÖNKÖPINGS LÄN</t>
        </is>
      </c>
      <c r="E596" t="inlineStr">
        <is>
          <t>VÄRNAMO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4740-2025</t>
        </is>
      </c>
      <c r="B597" s="1" t="n">
        <v>45688</v>
      </c>
      <c r="C597" s="1" t="n">
        <v>46196</v>
      </c>
      <c r="D597" t="inlineStr">
        <is>
          <t>JÖNKÖPINGS LÄN</t>
        </is>
      </c>
      <c r="E597" t="inlineStr">
        <is>
          <t>VÄRNAMO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40226-2024</t>
        </is>
      </c>
      <c r="B598" s="1" t="n">
        <v>45554</v>
      </c>
      <c r="C598" s="1" t="n">
        <v>46196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10540-2025</t>
        </is>
      </c>
      <c r="B599" s="1" t="n">
        <v>45721</v>
      </c>
      <c r="C599" s="1" t="n">
        <v>46196</v>
      </c>
      <c r="D599" t="inlineStr">
        <is>
          <t>JÖNKÖPINGS LÄN</t>
        </is>
      </c>
      <c r="E599" t="inlineStr">
        <is>
          <t>VÄRNAMO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44230-2023</t>
        </is>
      </c>
      <c r="B600" s="1" t="n">
        <v>45188</v>
      </c>
      <c r="C600" s="1" t="n">
        <v>46196</v>
      </c>
      <c r="D600" t="inlineStr">
        <is>
          <t>JÖNKÖPINGS LÄN</t>
        </is>
      </c>
      <c r="E600" t="inlineStr">
        <is>
          <t>VÄRNAMO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9935-2025</t>
        </is>
      </c>
      <c r="B601" s="1" t="n">
        <v>45718</v>
      </c>
      <c r="C601" s="1" t="n">
        <v>46196</v>
      </c>
      <c r="D601" t="inlineStr">
        <is>
          <t>JÖNKÖPINGS LÄN</t>
        </is>
      </c>
      <c r="E601" t="inlineStr">
        <is>
          <t>VÄRNAMO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38664-2024</t>
        </is>
      </c>
      <c r="B602" s="1" t="n">
        <v>45547</v>
      </c>
      <c r="C602" s="1" t="n">
        <v>46196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57373-2023</t>
        </is>
      </c>
      <c r="B603" s="1" t="n">
        <v>45245</v>
      </c>
      <c r="C603" s="1" t="n">
        <v>46196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3433-2023</t>
        </is>
      </c>
      <c r="B604" s="1" t="n">
        <v>44949</v>
      </c>
      <c r="C604" s="1" t="n">
        <v>46196</v>
      </c>
      <c r="D604" t="inlineStr">
        <is>
          <t>JÖNKÖPINGS LÄN</t>
        </is>
      </c>
      <c r="E604" t="inlineStr">
        <is>
          <t>VÄRNAMO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56415-2023</t>
        </is>
      </c>
      <c r="B605" s="1" t="n">
        <v>45243</v>
      </c>
      <c r="C605" s="1" t="n">
        <v>46196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40777-2024</t>
        </is>
      </c>
      <c r="B606" s="1" t="n">
        <v>45558</v>
      </c>
      <c r="C606" s="1" t="n">
        <v>46196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74026-2021</t>
        </is>
      </c>
      <c r="B607" s="1" t="n">
        <v>44553</v>
      </c>
      <c r="C607" s="1" t="n">
        <v>46196</v>
      </c>
      <c r="D607" t="inlineStr">
        <is>
          <t>JÖNKÖPINGS LÄN</t>
        </is>
      </c>
      <c r="E607" t="inlineStr">
        <is>
          <t>VÄRNAMO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74027-2021</t>
        </is>
      </c>
      <c r="B608" s="1" t="n">
        <v>44553</v>
      </c>
      <c r="C608" s="1" t="n">
        <v>46196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6980-2025</t>
        </is>
      </c>
      <c r="B609" s="1" t="n">
        <v>45701</v>
      </c>
      <c r="C609" s="1" t="n">
        <v>46196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14240-2024</t>
        </is>
      </c>
      <c r="B610" s="1" t="n">
        <v>45393</v>
      </c>
      <c r="C610" s="1" t="n">
        <v>46196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9041-2025</t>
        </is>
      </c>
      <c r="B611" s="1" t="n">
        <v>45713</v>
      </c>
      <c r="C611" s="1" t="n">
        <v>46196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41316-2023</t>
        </is>
      </c>
      <c r="B612" s="1" t="n">
        <v>45173</v>
      </c>
      <c r="C612" s="1" t="n">
        <v>46196</v>
      </c>
      <c r="D612" t="inlineStr">
        <is>
          <t>JÖNKÖPINGS LÄN</t>
        </is>
      </c>
      <c r="E612" t="inlineStr">
        <is>
          <t>VÄRNAMO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6914-2024</t>
        </is>
      </c>
      <c r="B613" s="1" t="n">
        <v>45343</v>
      </c>
      <c r="C613" s="1" t="n">
        <v>46196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6918-2024</t>
        </is>
      </c>
      <c r="B614" s="1" t="n">
        <v>45343</v>
      </c>
      <c r="C614" s="1" t="n">
        <v>46196</v>
      </c>
      <c r="D614" t="inlineStr">
        <is>
          <t>JÖNKÖPINGS LÄN</t>
        </is>
      </c>
      <c r="E614" t="inlineStr">
        <is>
          <t>VÄRNAMO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44051-2023</t>
        </is>
      </c>
      <c r="B615" s="1" t="n">
        <v>45188</v>
      </c>
      <c r="C615" s="1" t="n">
        <v>46196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39656-2023</t>
        </is>
      </c>
      <c r="B616" s="1" t="n">
        <v>45167</v>
      </c>
      <c r="C616" s="1" t="n">
        <v>46196</v>
      </c>
      <c r="D616" t="inlineStr">
        <is>
          <t>JÖNKÖPINGS LÄN</t>
        </is>
      </c>
      <c r="E616" t="inlineStr">
        <is>
          <t>VÄRNAMO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42830-2024</t>
        </is>
      </c>
      <c r="B617" s="1" t="n">
        <v>45566</v>
      </c>
      <c r="C617" s="1" t="n">
        <v>46196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36729-2022</t>
        </is>
      </c>
      <c r="B618" s="1" t="n">
        <v>44805</v>
      </c>
      <c r="C618" s="1" t="n">
        <v>46196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20199-2022</t>
        </is>
      </c>
      <c r="B619" s="1" t="n">
        <v>44698</v>
      </c>
      <c r="C619" s="1" t="n">
        <v>46196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16940-2025</t>
        </is>
      </c>
      <c r="B620" s="1" t="n">
        <v>45755</v>
      </c>
      <c r="C620" s="1" t="n">
        <v>46196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1341-2023</t>
        </is>
      </c>
      <c r="B621" s="1" t="n">
        <v>44936</v>
      </c>
      <c r="C621" s="1" t="n">
        <v>46196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18890-2023</t>
        </is>
      </c>
      <c r="B622" s="1" t="n">
        <v>45044</v>
      </c>
      <c r="C622" s="1" t="n">
        <v>46196</v>
      </c>
      <c r="D622" t="inlineStr">
        <is>
          <t>JÖNKÖPINGS LÄN</t>
        </is>
      </c>
      <c r="E622" t="inlineStr">
        <is>
          <t>VÄRNAMO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64002-2023</t>
        </is>
      </c>
      <c r="B623" s="1" t="n">
        <v>45278</v>
      </c>
      <c r="C623" s="1" t="n">
        <v>46196</v>
      </c>
      <c r="D623" t="inlineStr">
        <is>
          <t>JÖNKÖPINGS LÄN</t>
        </is>
      </c>
      <c r="E623" t="inlineStr">
        <is>
          <t>VÄRNAMO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51754-2024</t>
        </is>
      </c>
      <c r="B624" s="1" t="n">
        <v>45607</v>
      </c>
      <c r="C624" s="1" t="n">
        <v>46196</v>
      </c>
      <c r="D624" t="inlineStr">
        <is>
          <t>JÖNKÖPINGS LÄN</t>
        </is>
      </c>
      <c r="E624" t="inlineStr">
        <is>
          <t>VÄRNAMO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4554-2025</t>
        </is>
      </c>
      <c r="B625" s="1" t="n">
        <v>45687</v>
      </c>
      <c r="C625" s="1" t="n">
        <v>46196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64048-2023</t>
        </is>
      </c>
      <c r="B626" s="1" t="n">
        <v>45279</v>
      </c>
      <c r="C626" s="1" t="n">
        <v>46196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20481-2022</t>
        </is>
      </c>
      <c r="B627" s="1" t="n">
        <v>44699</v>
      </c>
      <c r="C627" s="1" t="n">
        <v>46196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46468-2023</t>
        </is>
      </c>
      <c r="B628" s="1" t="n">
        <v>45197</v>
      </c>
      <c r="C628" s="1" t="n">
        <v>46196</v>
      </c>
      <c r="D628" t="inlineStr">
        <is>
          <t>JÖNKÖPINGS LÄN</t>
        </is>
      </c>
      <c r="E628" t="inlineStr">
        <is>
          <t>VÄRNAMO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46471-2023</t>
        </is>
      </c>
      <c r="B629" s="1" t="n">
        <v>45197</v>
      </c>
      <c r="C629" s="1" t="n">
        <v>46196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35359-2023</t>
        </is>
      </c>
      <c r="B630" s="1" t="n">
        <v>45146</v>
      </c>
      <c r="C630" s="1" t="n">
        <v>46196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62798-2023</t>
        </is>
      </c>
      <c r="B631" s="1" t="n">
        <v>45271</v>
      </c>
      <c r="C631" s="1" t="n">
        <v>46196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61608-2023</t>
        </is>
      </c>
      <c r="B632" s="1" t="n">
        <v>45265</v>
      </c>
      <c r="C632" s="1" t="n">
        <v>46196</v>
      </c>
      <c r="D632" t="inlineStr">
        <is>
          <t>JÖNKÖPINGS LÄN</t>
        </is>
      </c>
      <c r="E632" t="inlineStr">
        <is>
          <t>VÄRNAMO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12304-2023</t>
        </is>
      </c>
      <c r="B633" s="1" t="n">
        <v>44998</v>
      </c>
      <c r="C633" s="1" t="n">
        <v>46196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12305-2023</t>
        </is>
      </c>
      <c r="B634" s="1" t="n">
        <v>44998</v>
      </c>
      <c r="C634" s="1" t="n">
        <v>46196</v>
      </c>
      <c r="D634" t="inlineStr">
        <is>
          <t>JÖNKÖPINGS LÄN</t>
        </is>
      </c>
      <c r="E634" t="inlineStr">
        <is>
          <t>VÄRNAMO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17464-2023</t>
        </is>
      </c>
      <c r="B635" s="1" t="n">
        <v>45036</v>
      </c>
      <c r="C635" s="1" t="n">
        <v>46196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17678-2023</t>
        </is>
      </c>
      <c r="B636" s="1" t="n">
        <v>45037</v>
      </c>
      <c r="C636" s="1" t="n">
        <v>46196</v>
      </c>
      <c r="D636" t="inlineStr">
        <is>
          <t>JÖNKÖPINGS LÄN</t>
        </is>
      </c>
      <c r="E636" t="inlineStr">
        <is>
          <t>VÄRNAMO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21104-2025</t>
        </is>
      </c>
      <c r="B637" s="1" t="n">
        <v>45777</v>
      </c>
      <c r="C637" s="1" t="n">
        <v>46196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48186-2024</t>
        </is>
      </c>
      <c r="B638" s="1" t="n">
        <v>45589</v>
      </c>
      <c r="C638" s="1" t="n">
        <v>46196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2026-06-23T04:34:46Z</dcterms:created>
  <dcterms:modified xmlns:dcterms="http://purl.org/dc/terms/" xmlns:xsi="http://www.w3.org/2001/XMLSchema-instance" xsi:type="dcterms:W3CDTF">2026-06-23T04:34:46Z</dcterms:modified>
</cp:coreProperties>
</file>