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46231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46231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46231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46231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46231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46231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46231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46231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46231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46231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46231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46231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46231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46231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10842-2026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46231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Klockgentiana</t>
        </is>
      </c>
      <c r="W23">
        <f>HYPERLINK("https://klasma.github.io/Logging_0683/artfynd/A 10842-2026 artfynd.xlsx", "A 10842-2026")</f>
        <v/>
      </c>
      <c r="X23">
        <f>HYPERLINK("https://klasma.github.io/Logging_0683/kartor/A 10842-2026 karta.png", "A 10842-2026")</f>
        <v/>
      </c>
      <c r="Y23">
        <f>HYPERLINK("https://klasma.github.io/Logging_0683/kartor_geotiff/A 10842-2026 georefererad karta.tif", "A 10842-2026")</f>
        <v/>
      </c>
      <c r="AA23">
        <f>HYPERLINK("https://klasma.github.io/Logging_0683/klagomål/A 10842-2026 FSC-klagomål.docx", "A 10842-2026")</f>
        <v/>
      </c>
      <c r="AB23">
        <f>HYPERLINK("https://klasma.github.io/Logging_0683/klagomålsmail/A 10842-2026 FSC-klagomål mail.docx", "A 10842-2026")</f>
        <v/>
      </c>
      <c r="AC23">
        <f>HYPERLINK("https://klasma.github.io/Logging_0683/tillsyn/A 10842-2026 tillsynsbegäran.docx", "A 10842-2026")</f>
        <v/>
      </c>
      <c r="AD23">
        <f>HYPERLINK("https://klasma.github.io/Logging_0683/tillsynsmail/A 10842-2026 tillsynsbegäran mail.docx", "A 10842-2026")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46231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46231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17221-2025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45756</v>
      </c>
      <c r="E26" s="1" t="n">
        <v>46231</v>
      </c>
      <c r="F26" t="inlineStr">
        <is>
          <t>JÖNKÖPINGS LÄN</t>
        </is>
      </c>
      <c r="G26" t="inlineStr">
        <is>
          <t>VÄRNAMO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Buskskvätta</t>
        </is>
      </c>
      <c r="W26">
        <f>HYPERLINK("https://klasma.github.io/Logging_0683/artfynd/A 17221-2025 artfynd.xlsx", "A 17221-2025")</f>
        <v/>
      </c>
      <c r="X26">
        <f>HYPERLINK("https://klasma.github.io/Logging_0683/kartor/A 17221-2025 karta.png", "A 17221-2025")</f>
        <v/>
      </c>
      <c r="Y26">
        <f>HYPERLINK("https://klasma.github.io/Logging_0683/kartor_geotiff/A 17221-2025 georefererad karta.tif", "A 17221-2025")</f>
        <v/>
      </c>
      <c r="AA26">
        <f>HYPERLINK("https://klasma.github.io/Logging_0683/klagomål/A 17221-2025 FSC-klagomål.docx", "A 17221-2025")</f>
        <v/>
      </c>
      <c r="AB26">
        <f>HYPERLINK("https://klasma.github.io/Logging_0683/klagomålsmail/A 17221-2025 FSC-klagomål mail.docx", "A 17221-2025")</f>
        <v/>
      </c>
      <c r="AC26">
        <f>HYPERLINK("https://klasma.github.io/Logging_0683/tillsyn/A 17221-2025 tillsynsbegäran.docx", "A 17221-2025")</f>
        <v/>
      </c>
      <c r="AD26">
        <f>HYPERLINK("https://klasma.github.io/Logging_0683/tillsynsmail/A 17221-2025 tillsynsbegäran mail.docx", "A 17221-2025")</f>
        <v/>
      </c>
    </row>
    <row r="27" ht="15" customHeight="1">
      <c r="A27" t="inlineStr">
        <is>
          <t>A 28002-2026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46231</v>
      </c>
      <c r="F27" t="inlineStr">
        <is>
          <t>JÖNKÖPINGS LÄN</t>
        </is>
      </c>
      <c r="G27" t="inlineStr">
        <is>
          <t>VÄRNAMO</t>
        </is>
      </c>
      <c r="H27" t="inlineStr">
        <is>
          <t>Sveaskog</t>
        </is>
      </c>
      <c r="I27" t="n">
        <v>26.9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Rostfläck</t>
        </is>
      </c>
      <c r="W27">
        <f>HYPERLINK("https://klasma.github.io/Logging_0683/artfynd/A 28002-2026 artfynd.xlsx", "A 28002-2026")</f>
        <v/>
      </c>
      <c r="X27">
        <f>HYPERLINK("https://klasma.github.io/Logging_0683/kartor/A 28002-2026 karta.png", "A 28002-2026")</f>
        <v/>
      </c>
      <c r="Y27">
        <f>HYPERLINK("https://klasma.github.io/Logging_0683/kartor_geotiff/A 28002-2026 georefererad karta.tif", "A 28002-2026")</f>
        <v/>
      </c>
      <c r="AA27">
        <f>HYPERLINK("https://klasma.github.io/Logging_0683/klagomål/A 28002-2026 FSC-klagomål.docx", "A 28002-2026")</f>
        <v/>
      </c>
      <c r="AB27">
        <f>HYPERLINK("https://klasma.github.io/Logging_0683/klagomålsmail/A 28002-2026 FSC-klagomål mail.docx", "A 28002-2026")</f>
        <v/>
      </c>
      <c r="AC27">
        <f>HYPERLINK("https://klasma.github.io/Logging_0683/tillsyn/A 28002-2026 tillsynsbegäran.docx", "A 28002-2026")</f>
        <v/>
      </c>
      <c r="AD27">
        <f>HYPERLINK("https://klasma.github.io/Logging_0683/tillsynsmail/A 28002-2026 tillsynsbegäran mail.docx", "A 28002-2026")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46231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46231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23920-2026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46231</v>
      </c>
      <c r="F30" t="inlineStr">
        <is>
          <t>JÖNKÖPINGS LÄN</t>
        </is>
      </c>
      <c r="G30" t="inlineStr">
        <is>
          <t>VÄRNAMO</t>
        </is>
      </c>
      <c r="I30" t="n">
        <v>0.7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HYPERLINK("https://klasma.github.io/Logging_0683/artfynd/A 23920-2026 artfynd.xlsx", "A 23920-2026")</f>
        <v/>
      </c>
      <c r="X30">
        <f>HYPERLINK("https://klasma.github.io/Logging_0683/kartor/A 23920-2026 karta.png", "A 23920-2026")</f>
        <v/>
      </c>
      <c r="Y30">
        <f>HYPERLINK("https://klasma.github.io/Logging_0683/kartor_geotiff/A 23920-2026 georefererad karta.tif", "A 23920-2026")</f>
        <v/>
      </c>
      <c r="AA30">
        <f>HYPERLINK("https://klasma.github.io/Logging_0683/klagomål/A 23920-2026 FSC-klagomål.docx", "A 23920-2026")</f>
        <v/>
      </c>
      <c r="AB30">
        <f>HYPERLINK("https://klasma.github.io/Logging_0683/klagomålsmail/A 23920-2026 FSC-klagomål mail.docx", "A 23920-2026")</f>
        <v/>
      </c>
      <c r="AC30">
        <f>HYPERLINK("https://klasma.github.io/Logging_0683/tillsyn/A 23920-2026 tillsynsbegäran.docx", "A 23920-2026")</f>
        <v/>
      </c>
      <c r="AD30">
        <f>HYPERLINK("https://klasma.github.io/Logging_0683/tillsynsmail/A 23920-2026 tillsynsbegäran mail.docx", "A 23920-2026")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46231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46231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61264-2023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46231</v>
      </c>
      <c r="F33" t="inlineStr">
        <is>
          <t>JÖNKÖPINGS LÄN</t>
        </is>
      </c>
      <c r="G33" t="inlineStr">
        <is>
          <t>VÄRNAMO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Gullpudra</t>
        </is>
      </c>
      <c r="W33">
        <f>HYPERLINK("https://klasma.github.io/Logging_0683/artfynd/A 61264-2023 artfynd.xlsx", "A 61264-2023")</f>
        <v/>
      </c>
      <c r="X33">
        <f>HYPERLINK("https://klasma.github.io/Logging_0683/kartor/A 61264-2023 karta.png", "A 61264-2023")</f>
        <v/>
      </c>
      <c r="Y33">
        <f>HYPERLINK("https://klasma.github.io/Logging_0683/kartor_geotiff/A 61264-2023 georefererad karta.tif", "A 61264-2023")</f>
        <v/>
      </c>
      <c r="AA33">
        <f>HYPERLINK("https://klasma.github.io/Logging_0683/klagomål/A 61264-2023 FSC-klagomål.docx", "A 61264-2023")</f>
        <v/>
      </c>
      <c r="AB33">
        <f>HYPERLINK("https://klasma.github.io/Logging_0683/klagomålsmail/A 61264-2023 FSC-klagomål mail.docx", "A 61264-2023")</f>
        <v/>
      </c>
      <c r="AC33">
        <f>HYPERLINK("https://klasma.github.io/Logging_0683/tillsyn/A 61264-2023 tillsynsbegäran.docx", "A 61264-2023")</f>
        <v/>
      </c>
      <c r="AD33">
        <f>HYPERLINK("https://klasma.github.io/Logging_0683/tillsynsmail/A 61264-2023 tillsynsbegäran mail.docx", "A 61264-2023")</f>
        <v/>
      </c>
    </row>
    <row r="34" ht="15" customHeight="1">
      <c r="A34" t="inlineStr">
        <is>
          <t>A 48887-2023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45209</v>
      </c>
      <c r="E34" s="1" t="n">
        <v>46231</v>
      </c>
      <c r="F34" t="inlineStr">
        <is>
          <t>JÖNKÖPINGS LÄN</t>
        </is>
      </c>
      <c r="G34" t="inlineStr">
        <is>
          <t>VÄRNAMO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Ask</t>
        </is>
      </c>
      <c r="W34">
        <f>HYPERLINK("https://klasma.github.io/Logging_0683/artfynd/A 48887-2023 artfynd.xlsx", "A 48887-2023")</f>
        <v/>
      </c>
      <c r="X34">
        <f>HYPERLINK("https://klasma.github.io/Logging_0683/kartor/A 48887-2023 karta.png", "A 48887-2023")</f>
        <v/>
      </c>
      <c r="Y34">
        <f>HYPERLINK("https://klasma.github.io/Logging_0683/kartor_geotiff/A 48887-2023 georefererad karta.tif", "A 48887-2023")</f>
        <v/>
      </c>
      <c r="AA34">
        <f>HYPERLINK("https://klasma.github.io/Logging_0683/klagomål/A 48887-2023 FSC-klagomål.docx", "A 48887-2023")</f>
        <v/>
      </c>
      <c r="AB34">
        <f>HYPERLINK("https://klasma.github.io/Logging_0683/klagomålsmail/A 48887-2023 FSC-klagomål mail.docx", "A 48887-2023")</f>
        <v/>
      </c>
      <c r="AC34">
        <f>HYPERLINK("https://klasma.github.io/Logging_0683/tillsyn/A 48887-2023 tillsynsbegäran.docx", "A 48887-2023")</f>
        <v/>
      </c>
      <c r="AD34">
        <f>HYPERLINK("https://klasma.github.io/Logging_0683/tillsynsmail/A 48887-2023 tillsynsbegäran mail.docx", "A 48887-2023")</f>
        <v/>
      </c>
    </row>
    <row r="35" ht="15" customHeight="1">
      <c r="A35" t="inlineStr">
        <is>
          <t>A 5761-2024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45335</v>
      </c>
      <c r="E35" s="1" t="n">
        <v>46231</v>
      </c>
      <c r="F35" t="inlineStr">
        <is>
          <t>JÖNKÖPINGS LÄN</t>
        </is>
      </c>
      <c r="G35" t="inlineStr">
        <is>
          <t>VÄRNAMO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HYPERLINK("https://klasma.github.io/Logging_0683/artfynd/A 5761-2024 artfynd.xlsx", "A 5761-2024")</f>
        <v/>
      </c>
      <c r="X35">
        <f>HYPERLINK("https://klasma.github.io/Logging_0683/kartor/A 5761-2024 karta.png", "A 5761-2024")</f>
        <v/>
      </c>
      <c r="Y35">
        <f>HYPERLINK("https://klasma.github.io/Logging_0683/kartor_geotiff/A 5761-2024 georefererad karta.tif", "A 5761-2024")</f>
        <v/>
      </c>
      <c r="AA35">
        <f>HYPERLINK("https://klasma.github.io/Logging_0683/klagomål/A 5761-2024 FSC-klagomål.docx", "A 5761-2024")</f>
        <v/>
      </c>
      <c r="AB35">
        <f>HYPERLINK("https://klasma.github.io/Logging_0683/klagomålsmail/A 5761-2024 FSC-klagomål mail.docx", "A 5761-2024")</f>
        <v/>
      </c>
      <c r="AC35">
        <f>HYPERLINK("https://klasma.github.io/Logging_0683/tillsyn/A 5761-2024 tillsynsbegäran.docx", "A 5761-2024")</f>
        <v/>
      </c>
      <c r="AD35">
        <f>HYPERLINK("https://klasma.github.io/Logging_0683/tillsynsmail/A 5761-2024 tillsynsbegäran mail.docx", "A 5761-2024")</f>
        <v/>
      </c>
    </row>
    <row r="36" ht="15" customHeight="1">
      <c r="A36" t="inlineStr">
        <is>
          <t>A 53528-2023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45223</v>
      </c>
      <c r="E36" s="1" t="n">
        <v>46231</v>
      </c>
      <c r="F36" t="inlineStr">
        <is>
          <t>JÖNKÖPINGS LÄN</t>
        </is>
      </c>
      <c r="G36" t="inlineStr">
        <is>
          <t>VÄRNAMO</t>
        </is>
      </c>
      <c r="H36" t="inlineStr">
        <is>
          <t>Kyrkan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Svartvit flugsnappare</t>
        </is>
      </c>
      <c r="W36">
        <f>HYPERLINK("https://klasma.github.io/Logging_0683/artfynd/A 53528-2023 artfynd.xlsx", "A 53528-2023")</f>
        <v/>
      </c>
      <c r="X36">
        <f>HYPERLINK("https://klasma.github.io/Logging_0683/kartor/A 53528-2023 karta.png", "A 53528-2023")</f>
        <v/>
      </c>
      <c r="Y36">
        <f>HYPERLINK("https://klasma.github.io/Logging_0683/kartor_geotiff/A 53528-2023 georefererad karta.tif", "A 53528-2023")</f>
        <v/>
      </c>
      <c r="AA36">
        <f>HYPERLINK("https://klasma.github.io/Logging_0683/klagomål/A 53528-2023 FSC-klagomål.docx", "A 53528-2023")</f>
        <v/>
      </c>
      <c r="AB36">
        <f>HYPERLINK("https://klasma.github.io/Logging_0683/klagomålsmail/A 53528-2023 FSC-klagomål mail.docx", "A 53528-2023")</f>
        <v/>
      </c>
      <c r="AC36">
        <f>HYPERLINK("https://klasma.github.io/Logging_0683/tillsyn/A 53528-2023 tillsynsbegäran.docx", "A 53528-2023")</f>
        <v/>
      </c>
      <c r="AD36">
        <f>HYPERLINK("https://klasma.github.io/Logging_0683/tillsynsmail/A 53528-2023 tillsynsbegäran mail.docx", "A 53528-2023")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46231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46231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46231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46231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46231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46231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46231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46231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46231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46231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46231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46231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40968-2021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44421</v>
      </c>
      <c r="E49" s="1" t="n">
        <v>46231</v>
      </c>
      <c r="F49" t="inlineStr">
        <is>
          <t>JÖNKÖPINGS LÄN</t>
        </is>
      </c>
      <c r="G49" t="inlineStr">
        <is>
          <t>VÄRNAMO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46231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46231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46231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46231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46231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46231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46231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46231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46231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46231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46231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46231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46231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46231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46231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46231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46231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46231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46231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46231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46231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46231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46231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46231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46231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46231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46231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46231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46231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46231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46231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46231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46231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46231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46231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46231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46231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46231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46231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46231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46231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46231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46231</v>
      </c>
      <c r="F92" t="inlineStr">
        <is>
          <t>JÖNKÖPINGS LÄN</t>
        </is>
      </c>
      <c r="G92" t="inlineStr">
        <is>
          <t>VÄRNAMO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60378-2021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46231</v>
      </c>
      <c r="F93" t="inlineStr">
        <is>
          <t>JÖNKÖPINGS LÄN</t>
        </is>
      </c>
      <c r="G93" t="inlineStr">
        <is>
          <t>VÄRNAMO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46231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46231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46231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46231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46231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46231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46231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46231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46231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46231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46231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46231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46231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46231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46231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46231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46231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46231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40486-2022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44823</v>
      </c>
      <c r="E112" s="1" t="n">
        <v>46231</v>
      </c>
      <c r="F112" t="inlineStr">
        <is>
          <t>JÖNKÖPINGS LÄN</t>
        </is>
      </c>
      <c r="G112" t="inlineStr">
        <is>
          <t>VÄRNAMO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46231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46231</v>
      </c>
      <c r="F114" t="inlineStr">
        <is>
          <t>JÖNKÖPINGS LÄN</t>
        </is>
      </c>
      <c r="G114" t="inlineStr">
        <is>
          <t>VÄRNAMO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45324</v>
      </c>
      <c r="E115" s="1" t="n">
        <v>46231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46231</v>
      </c>
      <c r="F116" t="inlineStr">
        <is>
          <t>JÖNKÖPINGS LÄN</t>
        </is>
      </c>
      <c r="G116" t="inlineStr">
        <is>
          <t>VÄRNAMO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46231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46231</v>
      </c>
      <c r="F118" t="inlineStr">
        <is>
          <t>JÖNKÖPINGS LÄN</t>
        </is>
      </c>
      <c r="G118" t="inlineStr">
        <is>
          <t>VÄRNAMO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46231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46231</v>
      </c>
      <c r="F120" t="inlineStr">
        <is>
          <t>JÖNKÖPINGS LÄN</t>
        </is>
      </c>
      <c r="G120" t="inlineStr">
        <is>
          <t>VÄRNAMO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45037</v>
      </c>
      <c r="E121" s="1" t="n">
        <v>46231</v>
      </c>
      <c r="F121" t="inlineStr">
        <is>
          <t>JÖNKÖPINGS LÄN</t>
        </is>
      </c>
      <c r="G121" t="inlineStr">
        <is>
          <t>VÄRNAMO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46231</v>
      </c>
      <c r="F122" t="inlineStr">
        <is>
          <t>JÖNKÖPINGS LÄN</t>
        </is>
      </c>
      <c r="G122" t="inlineStr">
        <is>
          <t>VÄRNAMO</t>
        </is>
      </c>
      <c r="H122" t="inlineStr">
        <is>
          <t>Kyrkan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45302</v>
      </c>
      <c r="E123" s="1" t="n">
        <v>46231</v>
      </c>
      <c r="F123" t="inlineStr">
        <is>
          <t>JÖNKÖPINGS LÄN</t>
        </is>
      </c>
      <c r="G123" t="inlineStr">
        <is>
          <t>VÄRNAMO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46231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44853</v>
      </c>
      <c r="E125" s="1" t="n">
        <v>46231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46231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46231</v>
      </c>
      <c r="F127" t="inlineStr">
        <is>
          <t>JÖNKÖPINGS LÄN</t>
        </is>
      </c>
      <c r="G127" t="inlineStr">
        <is>
          <t>VÄRNAMO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45756</v>
      </c>
      <c r="E128" s="1" t="n">
        <v>46231</v>
      </c>
      <c r="F128" t="inlineStr">
        <is>
          <t>JÖNKÖPINGS LÄN</t>
        </is>
      </c>
      <c r="G128" t="inlineStr">
        <is>
          <t>VÄRNAMO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45393</v>
      </c>
      <c r="E129" s="1" t="n">
        <v>46231</v>
      </c>
      <c r="F129" t="inlineStr">
        <is>
          <t>JÖNKÖPINGS LÄN</t>
        </is>
      </c>
      <c r="G129" t="inlineStr">
        <is>
          <t>VÄRNAMO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46231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46231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46231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71233-2021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44539</v>
      </c>
      <c r="E133" s="1" t="n">
        <v>46231</v>
      </c>
      <c r="F133" t="inlineStr">
        <is>
          <t>JÖNKÖPINGS LÄN</t>
        </is>
      </c>
      <c r="G133" t="inlineStr">
        <is>
          <t>VÄRNAMO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46231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45221</v>
      </c>
      <c r="E135" s="1" t="n">
        <v>46231</v>
      </c>
      <c r="F135" t="inlineStr">
        <is>
          <t>JÖNKÖPINGS LÄN</t>
        </is>
      </c>
      <c r="G135" t="inlineStr">
        <is>
          <t>VÄRNAMO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46231</v>
      </c>
      <c r="F136" t="inlineStr">
        <is>
          <t>JÖNKÖPINGS LÄN</t>
        </is>
      </c>
      <c r="G136" t="inlineStr">
        <is>
          <t>VÄRNAMO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46231</v>
      </c>
      <c r="F137" t="inlineStr">
        <is>
          <t>JÖNKÖPINGS LÄN</t>
        </is>
      </c>
      <c r="G137" t="inlineStr">
        <is>
          <t>VÄRNAMO</t>
        </is>
      </c>
      <c r="H137" t="inlineStr">
        <is>
          <t>Kommuner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46231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46231</v>
      </c>
      <c r="F139" t="inlineStr">
        <is>
          <t>JÖNKÖPINGS LÄN</t>
        </is>
      </c>
      <c r="G139" t="inlineStr">
        <is>
          <t>VÄRNAMO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46231</v>
      </c>
      <c r="F140" t="inlineStr">
        <is>
          <t>JÖNKÖPINGS LÄN</t>
        </is>
      </c>
      <c r="G140" t="inlineStr">
        <is>
          <t>VÄRNAMO</t>
        </is>
      </c>
      <c r="H140" t="inlineStr">
        <is>
          <t>Kommuner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46231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46231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46231</v>
      </c>
      <c r="F143" t="inlineStr">
        <is>
          <t>JÖNKÖPINGS LÄN</t>
        </is>
      </c>
      <c r="G143" t="inlineStr">
        <is>
          <t>VÄRNAMO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46231</v>
      </c>
      <c r="F144" t="inlineStr">
        <is>
          <t>JÖNKÖPINGS LÄN</t>
        </is>
      </c>
      <c r="G144" t="inlineStr">
        <is>
          <t>VÄRNAMO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46231</v>
      </c>
      <c r="F145" t="inlineStr">
        <is>
          <t>JÖNKÖPINGS LÄN</t>
        </is>
      </c>
      <c r="G145" t="inlineStr">
        <is>
          <t>VÄRNAMO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46029</v>
      </c>
      <c r="E146" s="1" t="n">
        <v>46231</v>
      </c>
      <c r="F146" t="inlineStr">
        <is>
          <t>JÖNKÖPINGS LÄN</t>
        </is>
      </c>
      <c r="G146" t="inlineStr">
        <is>
          <t>VÄRNAMO</t>
        </is>
      </c>
      <c r="H146" t="inlineStr">
        <is>
          <t>Sveaskog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46231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46231</v>
      </c>
      <c r="F148" t="inlineStr">
        <is>
          <t>JÖNKÖPINGS LÄN</t>
        </is>
      </c>
      <c r="G148" t="inlineStr">
        <is>
          <t>VÄRNAMO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45475</v>
      </c>
      <c r="E149" s="1" t="n">
        <v>46231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46231</v>
      </c>
      <c r="F150" t="inlineStr">
        <is>
          <t>JÖNKÖPINGS LÄN</t>
        </is>
      </c>
      <c r="G150" t="inlineStr">
        <is>
          <t>VÄRNAMO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46231</v>
      </c>
      <c r="F151" t="inlineStr">
        <is>
          <t>JÖNKÖPINGS LÄN</t>
        </is>
      </c>
      <c r="G151" t="inlineStr">
        <is>
          <t>VÄRNAMO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46231</v>
      </c>
      <c r="F152" t="inlineStr">
        <is>
          <t>JÖNKÖPINGS LÄN</t>
        </is>
      </c>
      <c r="G152" t="inlineStr">
        <is>
          <t>VÄRNAMO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46231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46231</v>
      </c>
      <c r="F154" t="inlineStr">
        <is>
          <t>JÖNKÖPINGS LÄN</t>
        </is>
      </c>
      <c r="G154" t="inlineStr">
        <is>
          <t>VÄRNAMO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46231</v>
      </c>
      <c r="F155" t="inlineStr">
        <is>
          <t>JÖNKÖPINGS LÄN</t>
        </is>
      </c>
      <c r="G155" t="inlineStr">
        <is>
          <t>VÄRNAMO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46231</v>
      </c>
      <c r="F156" t="inlineStr">
        <is>
          <t>JÖNKÖPINGS LÄN</t>
        </is>
      </c>
      <c r="G156" t="inlineStr">
        <is>
          <t>VÄRNAMO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46231</v>
      </c>
      <c r="F157" t="inlineStr">
        <is>
          <t>JÖNKÖPINGS LÄN</t>
        </is>
      </c>
      <c r="G157" t="inlineStr">
        <is>
          <t>VÄRNAMO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46231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46231</v>
      </c>
      <c r="F159" t="inlineStr">
        <is>
          <t>JÖNKÖPINGS LÄN</t>
        </is>
      </c>
      <c r="G159" t="inlineStr">
        <is>
          <t>VÄRNAMO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46231</v>
      </c>
      <c r="F160" t="inlineStr">
        <is>
          <t>JÖNKÖPINGS LÄN</t>
        </is>
      </c>
      <c r="G160" t="inlineStr">
        <is>
          <t>VÄRNAMO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46231</v>
      </c>
      <c r="F161" t="inlineStr">
        <is>
          <t>JÖNKÖPINGS LÄN</t>
        </is>
      </c>
      <c r="G161" t="inlineStr">
        <is>
          <t>VÄRNAMO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46231</v>
      </c>
      <c r="F162" t="inlineStr">
        <is>
          <t>JÖNKÖPINGS LÄN</t>
        </is>
      </c>
      <c r="G162" t="inlineStr">
        <is>
          <t>VÄRNAMO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46231</v>
      </c>
      <c r="F163" t="inlineStr">
        <is>
          <t>JÖNKÖPINGS LÄN</t>
        </is>
      </c>
      <c r="G163" t="inlineStr">
        <is>
          <t>VÄRNAMO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46231</v>
      </c>
      <c r="F164" t="inlineStr">
        <is>
          <t>JÖNKÖPINGS LÄN</t>
        </is>
      </c>
      <c r="G164" t="inlineStr">
        <is>
          <t>VÄRNAMO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46231</v>
      </c>
      <c r="F165" t="inlineStr">
        <is>
          <t>JÖNKÖPINGS LÄN</t>
        </is>
      </c>
      <c r="G165" t="inlineStr">
        <is>
          <t>VÄRNAMO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46231</v>
      </c>
      <c r="F166" t="inlineStr">
        <is>
          <t>JÖNKÖPINGS LÄN</t>
        </is>
      </c>
      <c r="G166" t="inlineStr">
        <is>
          <t>VÄRNAMO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46038</v>
      </c>
      <c r="E167" s="1" t="n">
        <v>46231</v>
      </c>
      <c r="F167" t="inlineStr">
        <is>
          <t>JÖNKÖPINGS LÄN</t>
        </is>
      </c>
      <c r="G167" t="inlineStr">
        <is>
          <t>VÄRNAMO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46231</v>
      </c>
      <c r="F168" t="inlineStr">
        <is>
          <t>JÖNKÖPINGS LÄN</t>
        </is>
      </c>
      <c r="G168" t="inlineStr">
        <is>
          <t>VÄRNAMO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46231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46231</v>
      </c>
      <c r="F170" t="inlineStr">
        <is>
          <t>JÖNKÖPINGS LÄN</t>
        </is>
      </c>
      <c r="G170" t="inlineStr">
        <is>
          <t>VÄRNAMO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46231</v>
      </c>
      <c r="F171" t="inlineStr">
        <is>
          <t>JÖNKÖPINGS LÄN</t>
        </is>
      </c>
      <c r="G171" t="inlineStr">
        <is>
          <t>VÄRNAMO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46231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45649</v>
      </c>
      <c r="E173" s="1" t="n">
        <v>46231</v>
      </c>
      <c r="F173" t="inlineStr">
        <is>
          <t>JÖNKÖPINGS LÄN</t>
        </is>
      </c>
      <c r="G173" t="inlineStr">
        <is>
          <t>VÄRNAMO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46231</v>
      </c>
      <c r="F174" t="inlineStr">
        <is>
          <t>JÖNKÖPINGS LÄN</t>
        </is>
      </c>
      <c r="G174" t="inlineStr">
        <is>
          <t>VÄRNAMO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8968-2024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45357</v>
      </c>
      <c r="E175" s="1" t="n">
        <v>46231</v>
      </c>
      <c r="F175" t="inlineStr">
        <is>
          <t>JÖNKÖPINGS LÄN</t>
        </is>
      </c>
      <c r="G175" t="inlineStr">
        <is>
          <t>VÄRNAMO</t>
        </is>
      </c>
      <c r="H175" t="inlineStr">
        <is>
          <t>Sveaskog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46231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46231</v>
      </c>
      <c r="F177" t="inlineStr">
        <is>
          <t>JÖNKÖPINGS LÄN</t>
        </is>
      </c>
      <c r="G177" t="inlineStr">
        <is>
          <t>VÄRNAMO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46231</v>
      </c>
      <c r="F178" t="inlineStr">
        <is>
          <t>JÖNKÖPINGS LÄN</t>
        </is>
      </c>
      <c r="G178" t="inlineStr">
        <is>
          <t>VÄRNAMO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46231</v>
      </c>
      <c r="F179" t="inlineStr">
        <is>
          <t>JÖNKÖPINGS LÄN</t>
        </is>
      </c>
      <c r="G179" t="inlineStr">
        <is>
          <t>VÄRNAMO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46231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46231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45820</v>
      </c>
      <c r="E182" s="1" t="n">
        <v>46231</v>
      </c>
      <c r="F182" t="inlineStr">
        <is>
          <t>JÖNKÖPINGS LÄN</t>
        </is>
      </c>
      <c r="G182" t="inlineStr">
        <is>
          <t>VÄRNAMO</t>
        </is>
      </c>
      <c r="H182" t="inlineStr">
        <is>
          <t>Kyrkan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5350-2026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46050</v>
      </c>
      <c r="E183" s="1" t="n">
        <v>46231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74102-2021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46231</v>
      </c>
      <c r="F184" t="inlineStr">
        <is>
          <t>JÖNKÖPINGS LÄN</t>
        </is>
      </c>
      <c r="G184" t="inlineStr">
        <is>
          <t>VÄRNAMO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46231</v>
      </c>
      <c r="F185" t="inlineStr">
        <is>
          <t>JÖNKÖPINGS LÄN</t>
        </is>
      </c>
      <c r="G185" t="inlineStr">
        <is>
          <t>VÄRNAMO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46049</v>
      </c>
      <c r="E186" s="1" t="n">
        <v>46231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44943</v>
      </c>
      <c r="E187" s="1" t="n">
        <v>46231</v>
      </c>
      <c r="F187" t="inlineStr">
        <is>
          <t>JÖNKÖPINGS LÄN</t>
        </is>
      </c>
      <c r="G187" t="inlineStr">
        <is>
          <t>VÄRNAMO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40841-2024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46231</v>
      </c>
      <c r="F188" t="inlineStr">
        <is>
          <t>JÖNKÖPINGS LÄN</t>
        </is>
      </c>
      <c r="G188" t="inlineStr">
        <is>
          <t>VÄRNAMO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46231</v>
      </c>
      <c r="F189" t="inlineStr">
        <is>
          <t>JÖNKÖPINGS LÄN</t>
        </is>
      </c>
      <c r="G189" t="inlineStr">
        <is>
          <t>VÄRNAMO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46231</v>
      </c>
      <c r="F190" t="inlineStr">
        <is>
          <t>JÖNKÖPINGS LÄN</t>
        </is>
      </c>
      <c r="G190" t="inlineStr">
        <is>
          <t>VÄRNAMO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46231</v>
      </c>
      <c r="F191" t="inlineStr">
        <is>
          <t>JÖNKÖPINGS LÄN</t>
        </is>
      </c>
      <c r="G191" t="inlineStr">
        <is>
          <t>VÄRNAMO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34222-2024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46231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46231</v>
      </c>
      <c r="F193" t="inlineStr">
        <is>
          <t>JÖNKÖPINGS LÄN</t>
        </is>
      </c>
      <c r="G193" t="inlineStr">
        <is>
          <t>VÄRNAMO</t>
        </is>
      </c>
      <c r="H193" t="inlineStr">
        <is>
          <t>Sveaskog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46231</v>
      </c>
      <c r="F194" t="inlineStr">
        <is>
          <t>JÖNKÖPINGS LÄN</t>
        </is>
      </c>
      <c r="G194" t="inlineStr">
        <is>
          <t>VÄRNAMO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44998</v>
      </c>
      <c r="E195" s="1" t="n">
        <v>46231</v>
      </c>
      <c r="F195" t="inlineStr">
        <is>
          <t>JÖNKÖPINGS LÄN</t>
        </is>
      </c>
      <c r="G195" t="inlineStr">
        <is>
          <t>VÄRNAMO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44587</v>
      </c>
      <c r="E196" s="1" t="n">
        <v>46231</v>
      </c>
      <c r="F196" t="inlineStr">
        <is>
          <t>JÖNKÖPINGS LÄN</t>
        </is>
      </c>
      <c r="G196" t="inlineStr">
        <is>
          <t>VÄRNAMO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46231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46057</v>
      </c>
      <c r="E198" s="1" t="n">
        <v>46231</v>
      </c>
      <c r="F198" t="inlineStr">
        <is>
          <t>JÖNKÖPINGS LÄN</t>
        </is>
      </c>
      <c r="G198" t="inlineStr">
        <is>
          <t>VÄRNAMO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46231</v>
      </c>
      <c r="F199" t="inlineStr">
        <is>
          <t>JÖNKÖPINGS LÄN</t>
        </is>
      </c>
      <c r="G199" t="inlineStr">
        <is>
          <t>VÄRNAMO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46231</v>
      </c>
      <c r="F200" t="inlineStr">
        <is>
          <t>JÖNKÖPINGS LÄN</t>
        </is>
      </c>
      <c r="G200" t="inlineStr">
        <is>
          <t>VÄRNAMO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74026-2021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44553</v>
      </c>
      <c r="E201" s="1" t="n">
        <v>46231</v>
      </c>
      <c r="F201" t="inlineStr">
        <is>
          <t>JÖNKÖPINGS LÄN</t>
        </is>
      </c>
      <c r="G201" t="inlineStr">
        <is>
          <t>VÄRNAMO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74027-2021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44553</v>
      </c>
      <c r="E202" s="1" t="n">
        <v>46231</v>
      </c>
      <c r="F202" t="inlineStr">
        <is>
          <t>JÖNKÖPINGS LÄN</t>
        </is>
      </c>
      <c r="G202" t="inlineStr">
        <is>
          <t>VÄRNAMO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46231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45659</v>
      </c>
      <c r="E204" s="1" t="n">
        <v>46231</v>
      </c>
      <c r="F204" t="inlineStr">
        <is>
          <t>JÖNKÖPINGS LÄN</t>
        </is>
      </c>
      <c r="G204" t="inlineStr">
        <is>
          <t>VÄRNAMO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46231</v>
      </c>
      <c r="F205" t="inlineStr">
        <is>
          <t>JÖNKÖPINGS LÄN</t>
        </is>
      </c>
      <c r="G205" t="inlineStr">
        <is>
          <t>VÄRNAMO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45785</v>
      </c>
      <c r="E206" s="1" t="n">
        <v>46231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46231</v>
      </c>
      <c r="F207" t="inlineStr">
        <is>
          <t>JÖNKÖPINGS LÄN</t>
        </is>
      </c>
      <c r="G207" t="inlineStr">
        <is>
          <t>VÄRNAMO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46231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46231</v>
      </c>
      <c r="F209" t="inlineStr">
        <is>
          <t>JÖNKÖPINGS LÄN</t>
        </is>
      </c>
      <c r="G209" t="inlineStr">
        <is>
          <t>VÄRNAMO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45217</v>
      </c>
      <c r="E210" s="1" t="n">
        <v>46231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46231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46231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46231</v>
      </c>
      <c r="F213" t="inlineStr">
        <is>
          <t>JÖNKÖPINGS LÄN</t>
        </is>
      </c>
      <c r="G213" t="inlineStr">
        <is>
          <t>VÄRNAMO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46231</v>
      </c>
      <c r="F214" t="inlineStr">
        <is>
          <t>JÖNKÖPINGS LÄN</t>
        </is>
      </c>
      <c r="G214" t="inlineStr">
        <is>
          <t>VÄRNAMO</t>
        </is>
      </c>
      <c r="H214" t="inlineStr">
        <is>
          <t>Kommuner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46231</v>
      </c>
      <c r="F215" t="inlineStr">
        <is>
          <t>JÖNKÖPINGS LÄN</t>
        </is>
      </c>
      <c r="G215" t="inlineStr">
        <is>
          <t>VÄRNAMO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46231</v>
      </c>
      <c r="F216" t="inlineStr">
        <is>
          <t>JÖNKÖPINGS LÄN</t>
        </is>
      </c>
      <c r="G216" t="inlineStr">
        <is>
          <t>VÄRNAMO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46231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46231</v>
      </c>
      <c r="F218" t="inlineStr">
        <is>
          <t>JÖNKÖPINGS LÄN</t>
        </is>
      </c>
      <c r="G218" t="inlineStr">
        <is>
          <t>VÄRNAMO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45197</v>
      </c>
      <c r="E219" s="1" t="n">
        <v>46231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45853</v>
      </c>
      <c r="E220" s="1" t="n">
        <v>46231</v>
      </c>
      <c r="F220" t="inlineStr">
        <is>
          <t>JÖNKÖPINGS LÄN</t>
        </is>
      </c>
      <c r="G220" t="inlineStr">
        <is>
          <t>VÄRNAMO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45853</v>
      </c>
      <c r="E221" s="1" t="n">
        <v>46231</v>
      </c>
      <c r="F221" t="inlineStr">
        <is>
          <t>JÖNKÖPINGS LÄN</t>
        </is>
      </c>
      <c r="G221" t="inlineStr">
        <is>
          <t>VÄRNAMO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46231</v>
      </c>
      <c r="F222" t="inlineStr">
        <is>
          <t>JÖNKÖPINGS LÄN</t>
        </is>
      </c>
      <c r="G222" t="inlineStr">
        <is>
          <t>VÄRNAMO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46231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40847-2024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46231</v>
      </c>
      <c r="F224" t="inlineStr">
        <is>
          <t>JÖNKÖPINGS LÄN</t>
        </is>
      </c>
      <c r="G224" t="inlineStr">
        <is>
          <t>VÄRNAMO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46231</v>
      </c>
      <c r="F225" t="inlineStr">
        <is>
          <t>JÖNKÖPINGS LÄN</t>
        </is>
      </c>
      <c r="G225" t="inlineStr">
        <is>
          <t>VÄRNAMO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46231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46231</v>
      </c>
      <c r="F227" t="inlineStr">
        <is>
          <t>JÖNKÖPINGS LÄN</t>
        </is>
      </c>
      <c r="G227" t="inlineStr">
        <is>
          <t>VÄRNAMO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46231</v>
      </c>
      <c r="F228" t="inlineStr">
        <is>
          <t>JÖNKÖPINGS LÄN</t>
        </is>
      </c>
      <c r="G228" t="inlineStr">
        <is>
          <t>VÄRNAMO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46231</v>
      </c>
      <c r="F229" t="inlineStr">
        <is>
          <t>JÖNKÖPINGS LÄN</t>
        </is>
      </c>
      <c r="G229" t="inlineStr">
        <is>
          <t>VÄRNAMO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46231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46231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46231</v>
      </c>
      <c r="F232" t="inlineStr">
        <is>
          <t>JÖNKÖPINGS LÄN</t>
        </is>
      </c>
      <c r="G232" t="inlineStr">
        <is>
          <t>VÄRNAMO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45583</v>
      </c>
      <c r="E233" s="1" t="n">
        <v>46231</v>
      </c>
      <c r="F233" t="inlineStr">
        <is>
          <t>JÖNKÖPINGS LÄN</t>
        </is>
      </c>
      <c r="G233" t="inlineStr">
        <is>
          <t>VÄRNAMO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46231</v>
      </c>
      <c r="F234" t="inlineStr">
        <is>
          <t>JÖNKÖPINGS LÄN</t>
        </is>
      </c>
      <c r="G234" t="inlineStr">
        <is>
          <t>VÄRNAMO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46231</v>
      </c>
      <c r="F235" t="inlineStr">
        <is>
          <t>JÖNKÖPINGS LÄN</t>
        </is>
      </c>
      <c r="G235" t="inlineStr">
        <is>
          <t>VÄRNAMO</t>
        </is>
      </c>
      <c r="H235" t="inlineStr">
        <is>
          <t>Sveaskog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45586</v>
      </c>
      <c r="E236" s="1" t="n">
        <v>46231</v>
      </c>
      <c r="F236" t="inlineStr">
        <is>
          <t>JÖNKÖPINGS LÄN</t>
        </is>
      </c>
      <c r="G236" t="inlineStr">
        <is>
          <t>VÄRNAMO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46231</v>
      </c>
      <c r="F237" t="inlineStr">
        <is>
          <t>JÖNKÖPINGS LÄN</t>
        </is>
      </c>
      <c r="G237" t="inlineStr">
        <is>
          <t>VÄRNAMO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46231</v>
      </c>
      <c r="F238" t="inlineStr">
        <is>
          <t>JÖNKÖPINGS LÄN</t>
        </is>
      </c>
      <c r="G238" t="inlineStr">
        <is>
          <t>VÄRNAMO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9983-2026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46231</v>
      </c>
      <c r="F239" t="inlineStr">
        <is>
          <t>JÖNKÖPINGS LÄN</t>
        </is>
      </c>
      <c r="G239" t="inlineStr">
        <is>
          <t>VÄRNAMO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46231</v>
      </c>
      <c r="F240" t="inlineStr">
        <is>
          <t>JÖNKÖPINGS LÄN</t>
        </is>
      </c>
      <c r="G240" t="inlineStr">
        <is>
          <t>VÄRNAMO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46078</v>
      </c>
      <c r="E241" s="1" t="n">
        <v>46231</v>
      </c>
      <c r="F241" t="inlineStr">
        <is>
          <t>JÖNKÖPINGS LÄN</t>
        </is>
      </c>
      <c r="G241" t="inlineStr">
        <is>
          <t>VÄRNAMO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45851</v>
      </c>
      <c r="E242" s="1" t="n">
        <v>46231</v>
      </c>
      <c r="F242" t="inlineStr">
        <is>
          <t>JÖNKÖPINGS LÄN</t>
        </is>
      </c>
      <c r="G242" t="inlineStr">
        <is>
          <t>VÄRNAMO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46231</v>
      </c>
      <c r="F243" t="inlineStr">
        <is>
          <t>JÖNKÖPINGS LÄN</t>
        </is>
      </c>
      <c r="G243" t="inlineStr">
        <is>
          <t>VÄRNAMO</t>
        </is>
      </c>
      <c r="H243" t="inlineStr">
        <is>
          <t>Kommuner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45851</v>
      </c>
      <c r="E244" s="1" t="n">
        <v>46231</v>
      </c>
      <c r="F244" t="inlineStr">
        <is>
          <t>JÖNKÖPINGS LÄN</t>
        </is>
      </c>
      <c r="G244" t="inlineStr">
        <is>
          <t>VÄRNAMO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45853</v>
      </c>
      <c r="E245" s="1" t="n">
        <v>46231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47595-2024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46231</v>
      </c>
      <c r="F246" t="inlineStr">
        <is>
          <t>JÖNKÖPINGS LÄN</t>
        </is>
      </c>
      <c r="G246" t="inlineStr">
        <is>
          <t>VÄRNAMO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46231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45748</v>
      </c>
      <c r="E248" s="1" t="n">
        <v>46231</v>
      </c>
      <c r="F248" t="inlineStr">
        <is>
          <t>JÖNKÖPINGS LÄN</t>
        </is>
      </c>
      <c r="G248" t="inlineStr">
        <is>
          <t>VÄRNAMO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46231</v>
      </c>
      <c r="F249" t="inlineStr">
        <is>
          <t>JÖNKÖPINGS LÄN</t>
        </is>
      </c>
      <c r="G249" t="inlineStr">
        <is>
          <t>VÄRNAMO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46231</v>
      </c>
      <c r="F250" t="inlineStr">
        <is>
          <t>JÖNKÖPINGS LÄN</t>
        </is>
      </c>
      <c r="G250" t="inlineStr">
        <is>
          <t>VÄRNAMO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11258-2026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46231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44470</v>
      </c>
      <c r="E252" s="1" t="n">
        <v>46231</v>
      </c>
      <c r="F252" t="inlineStr">
        <is>
          <t>JÖNKÖPINGS LÄN</t>
        </is>
      </c>
      <c r="G252" t="inlineStr">
        <is>
          <t>VÄRNAMO</t>
        </is>
      </c>
      <c r="H252" t="inlineStr">
        <is>
          <t>Övriga Aktiebolag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45142</v>
      </c>
      <c r="E253" s="1" t="n">
        <v>46231</v>
      </c>
      <c r="F253" t="inlineStr">
        <is>
          <t>JÖNKÖPINGS LÄN</t>
        </is>
      </c>
      <c r="G253" t="inlineStr">
        <is>
          <t>VÄRNAMO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46231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46231</v>
      </c>
      <c r="F255" t="inlineStr">
        <is>
          <t>JÖNKÖPINGS LÄN</t>
        </is>
      </c>
      <c r="G255" t="inlineStr">
        <is>
          <t>VÄRNAMO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45802</v>
      </c>
      <c r="E256" s="1" t="n">
        <v>46231</v>
      </c>
      <c r="F256" t="inlineStr">
        <is>
          <t>JÖNKÖPINGS LÄN</t>
        </is>
      </c>
      <c r="G256" t="inlineStr">
        <is>
          <t>VÄRNAMO</t>
        </is>
      </c>
      <c r="H256" t="inlineStr">
        <is>
          <t>Övriga Aktiebolag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12095-2026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46086</v>
      </c>
      <c r="E257" s="1" t="n">
        <v>46231</v>
      </c>
      <c r="F257" t="inlineStr">
        <is>
          <t>JÖNKÖPINGS LÄN</t>
        </is>
      </c>
      <c r="G257" t="inlineStr">
        <is>
          <t>VÄRNAMO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44445</v>
      </c>
      <c r="E258" s="1" t="n">
        <v>46231</v>
      </c>
      <c r="F258" t="inlineStr">
        <is>
          <t>JÖNKÖPINGS LÄN</t>
        </is>
      </c>
      <c r="G258" t="inlineStr">
        <is>
          <t>VÄRNAMO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45772</v>
      </c>
      <c r="E259" s="1" t="n">
        <v>46231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45889</v>
      </c>
      <c r="E260" s="1" t="n">
        <v>46231</v>
      </c>
      <c r="F260" t="inlineStr">
        <is>
          <t>JÖNKÖPINGS LÄN</t>
        </is>
      </c>
      <c r="G260" t="inlineStr">
        <is>
          <t>VÄRNAMO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46231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45873</v>
      </c>
      <c r="E262" s="1" t="n">
        <v>46231</v>
      </c>
      <c r="F262" t="inlineStr">
        <is>
          <t>JÖNKÖPINGS LÄN</t>
        </is>
      </c>
      <c r="G262" t="inlineStr">
        <is>
          <t>VÄRNAMO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46231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46231</v>
      </c>
      <c r="F264" t="inlineStr">
        <is>
          <t>JÖNKÖPINGS LÄN</t>
        </is>
      </c>
      <c r="G264" t="inlineStr">
        <is>
          <t>VÄRNAMO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37353-2025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46231</v>
      </c>
      <c r="F265" t="inlineStr">
        <is>
          <t>JÖNKÖPINGS LÄN</t>
        </is>
      </c>
      <c r="G265" t="inlineStr">
        <is>
          <t>VÄRNAMO</t>
        </is>
      </c>
      <c r="I265" t="n">
        <v>14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13008-2026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46231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46231</v>
      </c>
      <c r="F267" t="inlineStr">
        <is>
          <t>JÖNKÖPINGS LÄN</t>
        </is>
      </c>
      <c r="G267" t="inlineStr">
        <is>
          <t>VÄRNAMO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45270</v>
      </c>
      <c r="E268" s="1" t="n">
        <v>46231</v>
      </c>
      <c r="F268" t="inlineStr">
        <is>
          <t>JÖNKÖPINGS LÄN</t>
        </is>
      </c>
      <c r="G268" t="inlineStr">
        <is>
          <t>VÄRNAMO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46231</v>
      </c>
      <c r="F269" t="inlineStr">
        <is>
          <t>JÖNKÖPINGS LÄN</t>
        </is>
      </c>
      <c r="G269" t="inlineStr">
        <is>
          <t>VÄRNAMO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46231</v>
      </c>
      <c r="F270" t="inlineStr">
        <is>
          <t>JÖNKÖPINGS LÄN</t>
        </is>
      </c>
      <c r="G270" t="inlineStr">
        <is>
          <t>VÄRNAMO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44931</v>
      </c>
      <c r="E271" s="1" t="n">
        <v>46231</v>
      </c>
      <c r="F271" t="inlineStr">
        <is>
          <t>JÖNKÖPINGS LÄN</t>
        </is>
      </c>
      <c r="G271" t="inlineStr">
        <is>
          <t>VÄRNAMO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44929</v>
      </c>
      <c r="E272" s="1" t="n">
        <v>46231</v>
      </c>
      <c r="F272" t="inlineStr">
        <is>
          <t>JÖNKÖPINGS LÄN</t>
        </is>
      </c>
      <c r="G272" t="inlineStr">
        <is>
          <t>VÄRNAMO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44942</v>
      </c>
      <c r="E273" s="1" t="n">
        <v>46231</v>
      </c>
      <c r="F273" t="inlineStr">
        <is>
          <t>JÖNKÖPINGS LÄN</t>
        </is>
      </c>
      <c r="G273" t="inlineStr">
        <is>
          <t>VÄRNAMO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68171-2021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44526</v>
      </c>
      <c r="E274" s="1" t="n">
        <v>46231</v>
      </c>
      <c r="F274" t="inlineStr">
        <is>
          <t>JÖNKÖPINGS LÄN</t>
        </is>
      </c>
      <c r="G274" t="inlineStr">
        <is>
          <t>VÄRNAMO</t>
        </is>
      </c>
      <c r="H274" t="inlineStr">
        <is>
          <t>Kommuner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45044</v>
      </c>
      <c r="E275" s="1" t="n">
        <v>46231</v>
      </c>
      <c r="F275" t="inlineStr">
        <is>
          <t>JÖNKÖPINGS LÄN</t>
        </is>
      </c>
      <c r="G275" t="inlineStr">
        <is>
          <t>VÄRNAMO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15127-2026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46231</v>
      </c>
      <c r="F276" t="inlineStr">
        <is>
          <t>JÖNKÖPINGS LÄN</t>
        </is>
      </c>
      <c r="G276" t="inlineStr">
        <is>
          <t>VÄRNAMO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46231</v>
      </c>
      <c r="F277" t="inlineStr">
        <is>
          <t>JÖNKÖPINGS LÄN</t>
        </is>
      </c>
      <c r="G277" t="inlineStr">
        <is>
          <t>VÄRNAMO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14698-2026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46101</v>
      </c>
      <c r="E278" s="1" t="n">
        <v>46231</v>
      </c>
      <c r="F278" t="inlineStr">
        <is>
          <t>JÖNKÖPINGS LÄN</t>
        </is>
      </c>
      <c r="G278" t="inlineStr">
        <is>
          <t>VÄRNAMO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44722</v>
      </c>
      <c r="E279" s="1" t="n">
        <v>46231</v>
      </c>
      <c r="F279" t="inlineStr">
        <is>
          <t>JÖNKÖPINGS LÄN</t>
        </is>
      </c>
      <c r="G279" t="inlineStr">
        <is>
          <t>VÄRNAMO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45637</v>
      </c>
      <c r="E280" s="1" t="n">
        <v>46231</v>
      </c>
      <c r="F280" t="inlineStr">
        <is>
          <t>JÖNKÖPINGS LÄN</t>
        </is>
      </c>
      <c r="G280" t="inlineStr">
        <is>
          <t>VÄRNAMO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14439-2023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45012</v>
      </c>
      <c r="E281" s="1" t="n">
        <v>46231</v>
      </c>
      <c r="F281" t="inlineStr">
        <is>
          <t>JÖNKÖPINGS LÄN</t>
        </is>
      </c>
      <c r="G281" t="inlineStr">
        <is>
          <t>VÄRNAMO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46231</v>
      </c>
      <c r="F282" t="inlineStr">
        <is>
          <t>JÖNKÖPINGS LÄN</t>
        </is>
      </c>
      <c r="G282" t="inlineStr">
        <is>
          <t>VÄRNAMO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26436-2025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45807</v>
      </c>
      <c r="E283" s="1" t="n">
        <v>46231</v>
      </c>
      <c r="F283" t="inlineStr">
        <is>
          <t>JÖNKÖPINGS LÄN</t>
        </is>
      </c>
      <c r="G283" t="inlineStr">
        <is>
          <t>VÄRNAMO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46231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46231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46231</v>
      </c>
      <c r="F286" t="inlineStr">
        <is>
          <t>JÖNKÖPINGS LÄN</t>
        </is>
      </c>
      <c r="G286" t="inlineStr">
        <is>
          <t>VÄRNAMO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46231</v>
      </c>
      <c r="F287" t="inlineStr">
        <is>
          <t>JÖNKÖPINGS LÄN</t>
        </is>
      </c>
      <c r="G287" t="inlineStr">
        <is>
          <t>VÄRNAMO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15101-2026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46101</v>
      </c>
      <c r="E288" s="1" t="n">
        <v>46231</v>
      </c>
      <c r="F288" t="inlineStr">
        <is>
          <t>JÖNKÖPINGS LÄN</t>
        </is>
      </c>
      <c r="G288" t="inlineStr">
        <is>
          <t>VÄRNAMO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46231</v>
      </c>
      <c r="F289" t="inlineStr">
        <is>
          <t>JÖNKÖPINGS LÄN</t>
        </is>
      </c>
      <c r="G289" t="inlineStr">
        <is>
          <t>VÄRNAMO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45674</v>
      </c>
      <c r="E290" s="1" t="n">
        <v>46231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46231</v>
      </c>
      <c r="F291" t="inlineStr">
        <is>
          <t>JÖNKÖPINGS LÄN</t>
        </is>
      </c>
      <c r="G291" t="inlineStr">
        <is>
          <t>VÄRNAMO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46231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46231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45189</v>
      </c>
      <c r="E294" s="1" t="n">
        <v>46231</v>
      </c>
      <c r="F294" t="inlineStr">
        <is>
          <t>JÖNKÖPINGS LÄN</t>
        </is>
      </c>
      <c r="G294" t="inlineStr">
        <is>
          <t>VÄRNAMO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46231</v>
      </c>
      <c r="F295" t="inlineStr">
        <is>
          <t>JÖNKÖPINGS LÄN</t>
        </is>
      </c>
      <c r="G295" t="inlineStr">
        <is>
          <t>VÄRNAMO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46231</v>
      </c>
      <c r="F296" t="inlineStr">
        <is>
          <t>JÖNKÖPINGS LÄN</t>
        </is>
      </c>
      <c r="G296" t="inlineStr">
        <is>
          <t>VÄRNAMO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45161</v>
      </c>
      <c r="E297" s="1" t="n">
        <v>46231</v>
      </c>
      <c r="F297" t="inlineStr">
        <is>
          <t>JÖNKÖPINGS LÄN</t>
        </is>
      </c>
      <c r="G297" t="inlineStr">
        <is>
          <t>VÄRNAMO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46231</v>
      </c>
      <c r="F298" t="inlineStr">
        <is>
          <t>JÖNKÖPINGS LÄN</t>
        </is>
      </c>
      <c r="G298" t="inlineStr">
        <is>
          <t>VÄRNAMO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46231</v>
      </c>
      <c r="F299" t="inlineStr">
        <is>
          <t>JÖNKÖPINGS LÄN</t>
        </is>
      </c>
      <c r="G299" t="inlineStr">
        <is>
          <t>VÄRNAMO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45785</v>
      </c>
      <c r="E300" s="1" t="n">
        <v>46231</v>
      </c>
      <c r="F300" t="inlineStr">
        <is>
          <t>JÖNKÖPINGS LÄN</t>
        </is>
      </c>
      <c r="G300" t="inlineStr">
        <is>
          <t>VÄRNAMO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45824-2022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44846</v>
      </c>
      <c r="E301" s="1" t="n">
        <v>46231</v>
      </c>
      <c r="F301" t="inlineStr">
        <is>
          <t>JÖNKÖPINGS LÄN</t>
        </is>
      </c>
      <c r="G301" t="inlineStr">
        <is>
          <t>VÄRNAMO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46231</v>
      </c>
      <c r="F302" t="inlineStr">
        <is>
          <t>JÖNKÖPINGS LÄN</t>
        </is>
      </c>
      <c r="G302" t="inlineStr">
        <is>
          <t>VÄRNAMO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46231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45191</v>
      </c>
      <c r="E304" s="1" t="n">
        <v>46231</v>
      </c>
      <c r="F304" t="inlineStr">
        <is>
          <t>JÖNKÖPINGS LÄN</t>
        </is>
      </c>
      <c r="G304" t="inlineStr">
        <is>
          <t>VÄRNAMO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24702-2022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44727</v>
      </c>
      <c r="E305" s="1" t="n">
        <v>46231</v>
      </c>
      <c r="F305" t="inlineStr">
        <is>
          <t>JÖNKÖPINGS LÄN</t>
        </is>
      </c>
      <c r="G305" t="inlineStr">
        <is>
          <t>VÄRNAMO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46231</v>
      </c>
      <c r="F306" t="inlineStr">
        <is>
          <t>JÖNKÖPINGS LÄN</t>
        </is>
      </c>
      <c r="G306" t="inlineStr">
        <is>
          <t>VÄRNAMO</t>
        </is>
      </c>
      <c r="H306" t="inlineStr">
        <is>
          <t>Övriga Aktiebolag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46231</v>
      </c>
      <c r="F307" t="inlineStr">
        <is>
          <t>JÖNKÖPINGS LÄN</t>
        </is>
      </c>
      <c r="G307" t="inlineStr">
        <is>
          <t>VÄRNAMO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46231</v>
      </c>
      <c r="F308" t="inlineStr">
        <is>
          <t>JÖNKÖPINGS LÄN</t>
        </is>
      </c>
      <c r="G308" t="inlineStr">
        <is>
          <t>VÄRNAMO</t>
        </is>
      </c>
      <c r="H308" t="inlineStr">
        <is>
          <t>Övriga Aktiebolag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46231</v>
      </c>
      <c r="F309" t="inlineStr">
        <is>
          <t>JÖNKÖPINGS LÄN</t>
        </is>
      </c>
      <c r="G309" t="inlineStr">
        <is>
          <t>VÄRNAMO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46231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46231</v>
      </c>
      <c r="F311" t="inlineStr">
        <is>
          <t>JÖNKÖPINGS LÄN</t>
        </is>
      </c>
      <c r="G311" t="inlineStr">
        <is>
          <t>VÄRNAMO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46231</v>
      </c>
      <c r="F312" t="inlineStr">
        <is>
          <t>JÖNKÖPINGS LÄN</t>
        </is>
      </c>
      <c r="G312" t="inlineStr">
        <is>
          <t>VÄRNAMO</t>
        </is>
      </c>
      <c r="H312" t="inlineStr">
        <is>
          <t>Övriga Aktiebolag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46231</v>
      </c>
      <c r="F313" t="inlineStr">
        <is>
          <t>JÖNKÖPINGS LÄN</t>
        </is>
      </c>
      <c r="G313" t="inlineStr">
        <is>
          <t>VÄRNAMO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46231</v>
      </c>
      <c r="F314" t="inlineStr">
        <is>
          <t>JÖNKÖPINGS LÄN</t>
        </is>
      </c>
      <c r="G314" t="inlineStr">
        <is>
          <t>VÄRNAMO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46231</v>
      </c>
      <c r="F315" t="inlineStr">
        <is>
          <t>JÖNKÖPINGS LÄN</t>
        </is>
      </c>
      <c r="G315" t="inlineStr">
        <is>
          <t>VÄRNAMO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46231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45200</v>
      </c>
      <c r="E317" s="1" t="n">
        <v>46231</v>
      </c>
      <c r="F317" t="inlineStr">
        <is>
          <t>JÖNKÖPINGS LÄN</t>
        </is>
      </c>
      <c r="G317" t="inlineStr">
        <is>
          <t>VÄRNAMO</t>
        </is>
      </c>
      <c r="H317" t="inlineStr">
        <is>
          <t>Övriga Aktiebolag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45919</v>
      </c>
      <c r="E318" s="1" t="n">
        <v>46231</v>
      </c>
      <c r="F318" t="inlineStr">
        <is>
          <t>JÖNKÖPINGS LÄN</t>
        </is>
      </c>
      <c r="G318" t="inlineStr">
        <is>
          <t>VÄRNAMO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45154</v>
      </c>
      <c r="E319" s="1" t="n">
        <v>46231</v>
      </c>
      <c r="F319" t="inlineStr">
        <is>
          <t>JÖNKÖPINGS LÄN</t>
        </is>
      </c>
      <c r="G319" t="inlineStr">
        <is>
          <t>VÄRNAMO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62232-2023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45267</v>
      </c>
      <c r="E320" s="1" t="n">
        <v>46231</v>
      </c>
      <c r="F320" t="inlineStr">
        <is>
          <t>JÖNKÖPINGS LÄN</t>
        </is>
      </c>
      <c r="G320" t="inlineStr">
        <is>
          <t>VÄRNAMO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45509</v>
      </c>
      <c r="E321" s="1" t="n">
        <v>46231</v>
      </c>
      <c r="F321" t="inlineStr">
        <is>
          <t>JÖNKÖPINGS LÄN</t>
        </is>
      </c>
      <c r="G321" t="inlineStr">
        <is>
          <t>VÄRNAMO</t>
        </is>
      </c>
      <c r="I321" t="n">
        <v>8.1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46231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45761</v>
      </c>
      <c r="E323" s="1" t="n">
        <v>46231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46231</v>
      </c>
      <c r="F324" t="inlineStr">
        <is>
          <t>JÖNKÖPINGS LÄN</t>
        </is>
      </c>
      <c r="G324" t="inlineStr">
        <is>
          <t>VÄRNAMO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45735</v>
      </c>
      <c r="E325" s="1" t="n">
        <v>46231</v>
      </c>
      <c r="F325" t="inlineStr">
        <is>
          <t>JÖNKÖPINGS LÄN</t>
        </is>
      </c>
      <c r="G325" t="inlineStr">
        <is>
          <t>VÄRNAMO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46231</v>
      </c>
      <c r="F326" t="inlineStr">
        <is>
          <t>JÖNKÖPINGS LÄN</t>
        </is>
      </c>
      <c r="G326" t="inlineStr">
        <is>
          <t>VÄRNAMO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46231</v>
      </c>
      <c r="F327" t="inlineStr">
        <is>
          <t>JÖNKÖPINGS LÄN</t>
        </is>
      </c>
      <c r="G327" t="inlineStr">
        <is>
          <t>VÄRNAMO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46231</v>
      </c>
      <c r="F328" t="inlineStr">
        <is>
          <t>JÖNKÖPINGS LÄN</t>
        </is>
      </c>
      <c r="G328" t="inlineStr">
        <is>
          <t>VÄRNAMO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46231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46231</v>
      </c>
      <c r="F330" t="inlineStr">
        <is>
          <t>JÖNKÖPINGS LÄN</t>
        </is>
      </c>
      <c r="G330" t="inlineStr">
        <is>
          <t>VÄRNAMO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46231</v>
      </c>
      <c r="F331" t="inlineStr">
        <is>
          <t>JÖNKÖPINGS LÄN</t>
        </is>
      </c>
      <c r="G331" t="inlineStr">
        <is>
          <t>VÄRNAMO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46231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46231</v>
      </c>
      <c r="F333" t="inlineStr">
        <is>
          <t>JÖNKÖPINGS LÄN</t>
        </is>
      </c>
      <c r="G333" t="inlineStr">
        <is>
          <t>VÄRNAMO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45812</v>
      </c>
      <c r="E334" s="1" t="n">
        <v>46231</v>
      </c>
      <c r="F334" t="inlineStr">
        <is>
          <t>JÖNKÖPINGS LÄN</t>
        </is>
      </c>
      <c r="G334" t="inlineStr">
        <is>
          <t>VÄRNAMO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45446</v>
      </c>
      <c r="E335" s="1" t="n">
        <v>46231</v>
      </c>
      <c r="F335" t="inlineStr">
        <is>
          <t>JÖNKÖPINGS LÄN</t>
        </is>
      </c>
      <c r="G335" t="inlineStr">
        <is>
          <t>VÄRNAMO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45072</v>
      </c>
      <c r="E336" s="1" t="n">
        <v>46231</v>
      </c>
      <c r="F336" t="inlineStr">
        <is>
          <t>JÖNKÖPINGS LÄN</t>
        </is>
      </c>
      <c r="G336" t="inlineStr">
        <is>
          <t>VÄRNAMO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45936</v>
      </c>
      <c r="E337" s="1" t="n">
        <v>46231</v>
      </c>
      <c r="F337" t="inlineStr">
        <is>
          <t>JÖNKÖPINGS LÄN</t>
        </is>
      </c>
      <c r="G337" t="inlineStr">
        <is>
          <t>VÄRNAMO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46231</v>
      </c>
      <c r="F338" t="inlineStr">
        <is>
          <t>JÖNKÖPINGS LÄN</t>
        </is>
      </c>
      <c r="G338" t="inlineStr">
        <is>
          <t>VÄRNAMO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46231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33315-2025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45841</v>
      </c>
      <c r="E340" s="1" t="n">
        <v>46231</v>
      </c>
      <c r="F340" t="inlineStr">
        <is>
          <t>JÖNKÖPINGS LÄN</t>
        </is>
      </c>
      <c r="G340" t="inlineStr">
        <is>
          <t>VÄRNAMO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46231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46231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51463-2022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44869</v>
      </c>
      <c r="E343" s="1" t="n">
        <v>46231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43162-2024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46231</v>
      </c>
      <c r="F344" t="inlineStr">
        <is>
          <t>JÖNKÖPINGS LÄN</t>
        </is>
      </c>
      <c r="G344" t="inlineStr">
        <is>
          <t>VÄRNAMO</t>
        </is>
      </c>
      <c r="H344" t="inlineStr">
        <is>
          <t>Kommuner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46231</v>
      </c>
      <c r="F345" t="inlineStr">
        <is>
          <t>JÖNKÖPINGS LÄN</t>
        </is>
      </c>
      <c r="G345" t="inlineStr">
        <is>
          <t>VÄRNAMO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45889</v>
      </c>
      <c r="E346" s="1" t="n">
        <v>46231</v>
      </c>
      <c r="F346" t="inlineStr">
        <is>
          <t>JÖNKÖPINGS LÄN</t>
        </is>
      </c>
      <c r="G346" t="inlineStr">
        <is>
          <t>VÄRNAMO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46231</v>
      </c>
      <c r="F347" t="inlineStr">
        <is>
          <t>JÖNKÖPINGS LÄN</t>
        </is>
      </c>
      <c r="G347" t="inlineStr">
        <is>
          <t>VÄRNAMO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51430-2021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44461</v>
      </c>
      <c r="E348" s="1" t="n">
        <v>46231</v>
      </c>
      <c r="F348" t="inlineStr">
        <is>
          <t>JÖNKÖPINGS LÄN</t>
        </is>
      </c>
      <c r="G348" t="inlineStr">
        <is>
          <t>VÄRNAMO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46231</v>
      </c>
      <c r="F349" t="inlineStr">
        <is>
          <t>JÖNKÖPINGS LÄN</t>
        </is>
      </c>
      <c r="G349" t="inlineStr">
        <is>
          <t>VÄRNAMO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45827</v>
      </c>
      <c r="E350" s="1" t="n">
        <v>46231</v>
      </c>
      <c r="F350" t="inlineStr">
        <is>
          <t>JÖNKÖPINGS LÄN</t>
        </is>
      </c>
      <c r="G350" t="inlineStr">
        <is>
          <t>VÄRNAMO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45664</v>
      </c>
      <c r="E351" s="1" t="n">
        <v>46231</v>
      </c>
      <c r="F351" t="inlineStr">
        <is>
          <t>JÖNKÖPINGS LÄN</t>
        </is>
      </c>
      <c r="G351" t="inlineStr">
        <is>
          <t>VÄRNAMO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46231</v>
      </c>
      <c r="F352" t="inlineStr">
        <is>
          <t>JÖNKÖPINGS LÄN</t>
        </is>
      </c>
      <c r="G352" t="inlineStr">
        <is>
          <t>VÄRNAMO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48664-2023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45208</v>
      </c>
      <c r="E353" s="1" t="n">
        <v>46231</v>
      </c>
      <c r="F353" t="inlineStr">
        <is>
          <t>JÖNKÖPINGS LÄN</t>
        </is>
      </c>
      <c r="G353" t="inlineStr">
        <is>
          <t>VÄRNAMO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45841</v>
      </c>
      <c r="E354" s="1" t="n">
        <v>46231</v>
      </c>
      <c r="F354" t="inlineStr">
        <is>
          <t>JÖNKÖPINGS LÄN</t>
        </is>
      </c>
      <c r="G354" t="inlineStr">
        <is>
          <t>VÄRNAMO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45496</v>
      </c>
      <c r="E355" s="1" t="n">
        <v>46231</v>
      </c>
      <c r="F355" t="inlineStr">
        <is>
          <t>JÖNKÖPINGS LÄN</t>
        </is>
      </c>
      <c r="G355" t="inlineStr">
        <is>
          <t>VÄRNAMO</t>
        </is>
      </c>
      <c r="H355" t="inlineStr">
        <is>
          <t>Kommuner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45021</v>
      </c>
      <c r="E356" s="1" t="n">
        <v>46231</v>
      </c>
      <c r="F356" t="inlineStr">
        <is>
          <t>JÖNKÖPINGS LÄN</t>
        </is>
      </c>
      <c r="G356" t="inlineStr">
        <is>
          <t>VÄRNAMO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46231</v>
      </c>
      <c r="F357" t="inlineStr">
        <is>
          <t>JÖNKÖPINGS LÄN</t>
        </is>
      </c>
      <c r="G357" t="inlineStr">
        <is>
          <t>VÄRNAMO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46231</v>
      </c>
      <c r="F358" t="inlineStr">
        <is>
          <t>JÖNKÖPINGS LÄN</t>
        </is>
      </c>
      <c r="G358" t="inlineStr">
        <is>
          <t>VÄRNAMO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46189</v>
      </c>
      <c r="E359" s="1" t="n">
        <v>46231</v>
      </c>
      <c r="F359" t="inlineStr">
        <is>
          <t>JÖNKÖPINGS LÄN</t>
        </is>
      </c>
      <c r="G359" t="inlineStr">
        <is>
          <t>VÄRNAMO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46231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46231</v>
      </c>
      <c r="F361" t="inlineStr">
        <is>
          <t>JÖNKÖPINGS LÄN</t>
        </is>
      </c>
      <c r="G361" t="inlineStr">
        <is>
          <t>VÄRNAMO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46231</v>
      </c>
      <c r="F362" t="inlineStr">
        <is>
          <t>JÖNKÖPINGS LÄN</t>
        </is>
      </c>
      <c r="G362" t="inlineStr">
        <is>
          <t>VÄRNAMO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46231</v>
      </c>
      <c r="F363" t="inlineStr">
        <is>
          <t>JÖNKÖPINGS LÄN</t>
        </is>
      </c>
      <c r="G363" t="inlineStr">
        <is>
          <t>VÄRNAMO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46231</v>
      </c>
      <c r="F364" t="inlineStr">
        <is>
          <t>JÖNKÖPINGS LÄN</t>
        </is>
      </c>
      <c r="G364" t="inlineStr">
        <is>
          <t>VÄRNAMO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46231</v>
      </c>
      <c r="F365" t="inlineStr">
        <is>
          <t>JÖNKÖPINGS LÄN</t>
        </is>
      </c>
      <c r="G365" t="inlineStr">
        <is>
          <t>VÄRNAMO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46231</v>
      </c>
      <c r="F366" t="inlineStr">
        <is>
          <t>JÖNKÖPINGS LÄN</t>
        </is>
      </c>
      <c r="G366" t="inlineStr">
        <is>
          <t>VÄRNAMO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46231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45245</v>
      </c>
      <c r="E368" s="1" t="n">
        <v>46231</v>
      </c>
      <c r="F368" t="inlineStr">
        <is>
          <t>JÖNKÖPINGS LÄN</t>
        </is>
      </c>
      <c r="G368" t="inlineStr">
        <is>
          <t>VÄRNAMO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46231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55493-2022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46231</v>
      </c>
      <c r="F370" t="inlineStr">
        <is>
          <t>JÖNKÖPINGS LÄN</t>
        </is>
      </c>
      <c r="G370" t="inlineStr">
        <is>
          <t>VÄRNAMO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46231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42575-2022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44831</v>
      </c>
      <c r="E372" s="1" t="n">
        <v>46231</v>
      </c>
      <c r="F372" t="inlineStr">
        <is>
          <t>JÖNKÖPINGS LÄN</t>
        </is>
      </c>
      <c r="G372" t="inlineStr">
        <is>
          <t>VÄRNAMO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55379-2023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45238</v>
      </c>
      <c r="E373" s="1" t="n">
        <v>46231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36410-2023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45149</v>
      </c>
      <c r="E374" s="1" t="n">
        <v>46231</v>
      </c>
      <c r="F374" t="inlineStr">
        <is>
          <t>JÖNKÖPINGS LÄN</t>
        </is>
      </c>
      <c r="G374" t="inlineStr">
        <is>
          <t>VÄRNAMO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46231</v>
      </c>
      <c r="F375" t="inlineStr">
        <is>
          <t>JÖNKÖPINGS LÄN</t>
        </is>
      </c>
      <c r="G375" t="inlineStr">
        <is>
          <t>VÄRNAMO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46195</v>
      </c>
      <c r="E376" s="1" t="n">
        <v>46231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46231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46193</v>
      </c>
      <c r="E378" s="1" t="n">
        <v>46231</v>
      </c>
      <c r="F378" t="inlineStr">
        <is>
          <t>JÖNKÖPINGS LÄN</t>
        </is>
      </c>
      <c r="G378" t="inlineStr">
        <is>
          <t>VÄRNAMO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46231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46231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46195</v>
      </c>
      <c r="E381" s="1" t="n">
        <v>46231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46231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46231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44805</v>
      </c>
      <c r="E384" s="1" t="n">
        <v>46231</v>
      </c>
      <c r="F384" t="inlineStr">
        <is>
          <t>JÖNKÖPINGS LÄN</t>
        </is>
      </c>
      <c r="G384" t="inlineStr">
        <is>
          <t>VÄRNAMO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44936</v>
      </c>
      <c r="E385" s="1" t="n">
        <v>46231</v>
      </c>
      <c r="F385" t="inlineStr">
        <is>
          <t>JÖNKÖPINGS LÄN</t>
        </is>
      </c>
      <c r="G385" t="inlineStr">
        <is>
          <t>VÄRNAMO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45718</v>
      </c>
      <c r="E386" s="1" t="n">
        <v>46231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48040-2024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45589</v>
      </c>
      <c r="E387" s="1" t="n">
        <v>46231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45019</v>
      </c>
      <c r="E388" s="1" t="n">
        <v>46231</v>
      </c>
      <c r="F388" t="inlineStr">
        <is>
          <t>JÖNKÖPINGS LÄN</t>
        </is>
      </c>
      <c r="G388" t="inlineStr">
        <is>
          <t>VÄRNAMO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46231</v>
      </c>
      <c r="F389" t="inlineStr">
        <is>
          <t>JÖNKÖPINGS LÄN</t>
        </is>
      </c>
      <c r="G389" t="inlineStr">
        <is>
          <t>VÄRNAMO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46231</v>
      </c>
      <c r="F390" t="inlineStr">
        <is>
          <t>JÖNKÖPINGS LÄN</t>
        </is>
      </c>
      <c r="G390" t="inlineStr">
        <is>
          <t>VÄRNAMO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46231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46231</v>
      </c>
      <c r="F392" t="inlineStr">
        <is>
          <t>JÖNKÖPINGS LÄN</t>
        </is>
      </c>
      <c r="G392" t="inlineStr">
        <is>
          <t>VÄRNAMO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45114</v>
      </c>
      <c r="E393" s="1" t="n">
        <v>46231</v>
      </c>
      <c r="F393" t="inlineStr">
        <is>
          <t>JÖNKÖPINGS LÄN</t>
        </is>
      </c>
      <c r="G393" t="inlineStr">
        <is>
          <t>VÄRNAMO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32879-2023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45124</v>
      </c>
      <c r="E394" s="1" t="n">
        <v>46231</v>
      </c>
      <c r="F394" t="inlineStr">
        <is>
          <t>JÖNKÖPINGS LÄN</t>
        </is>
      </c>
      <c r="G394" t="inlineStr">
        <is>
          <t>VÄRNAMO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46231</v>
      </c>
      <c r="F395" t="inlineStr">
        <is>
          <t>JÖNKÖPINGS LÄN</t>
        </is>
      </c>
      <c r="G395" t="inlineStr">
        <is>
          <t>VÄRNAMO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46231</v>
      </c>
      <c r="F396" t="inlineStr">
        <is>
          <t>JÖNKÖPINGS LÄN</t>
        </is>
      </c>
      <c r="G396" t="inlineStr">
        <is>
          <t>VÄRNAMO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46231</v>
      </c>
      <c r="F397" t="inlineStr">
        <is>
          <t>JÖNKÖPINGS LÄN</t>
        </is>
      </c>
      <c r="G397" t="inlineStr">
        <is>
          <t>VÄRNAMO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45553</v>
      </c>
      <c r="E398" s="1" t="n">
        <v>46231</v>
      </c>
      <c r="F398" t="inlineStr">
        <is>
          <t>JÖNKÖPINGS LÄN</t>
        </is>
      </c>
      <c r="G398" t="inlineStr">
        <is>
          <t>VÄRNAMO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46231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46231</v>
      </c>
      <c r="F400" t="inlineStr">
        <is>
          <t>JÖNKÖPINGS LÄN</t>
        </is>
      </c>
      <c r="G400" t="inlineStr">
        <is>
          <t>VÄRNAMO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46231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53473-2025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45959</v>
      </c>
      <c r="E402" s="1" t="n">
        <v>46231</v>
      </c>
      <c r="F402" t="inlineStr">
        <is>
          <t>JÖNKÖPINGS LÄN</t>
        </is>
      </c>
      <c r="G402" t="inlineStr">
        <is>
          <t>VÄRNAMO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45162</v>
      </c>
      <c r="E403" s="1" t="n">
        <v>46231</v>
      </c>
      <c r="F403" t="inlineStr">
        <is>
          <t>JÖNKÖPINGS LÄN</t>
        </is>
      </c>
      <c r="G403" t="inlineStr">
        <is>
          <t>VÄRNAMO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46231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39656-2023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45167</v>
      </c>
      <c r="E405" s="1" t="n">
        <v>46231</v>
      </c>
      <c r="F405" t="inlineStr">
        <is>
          <t>JÖNKÖPINGS LÄN</t>
        </is>
      </c>
      <c r="G405" t="inlineStr">
        <is>
          <t>VÄRNAMO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74310-2021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44559</v>
      </c>
      <c r="E406" s="1" t="n">
        <v>46231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45517</v>
      </c>
      <c r="E407" s="1" t="n">
        <v>46231</v>
      </c>
      <c r="F407" t="inlineStr">
        <is>
          <t>JÖNKÖPINGS LÄN</t>
        </is>
      </c>
      <c r="G407" t="inlineStr">
        <is>
          <t>VÄRNAMO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46231</v>
      </c>
      <c r="F408" t="inlineStr">
        <is>
          <t>JÖNKÖPINGS LÄN</t>
        </is>
      </c>
      <c r="G408" t="inlineStr">
        <is>
          <t>VÄRNAMO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30173-2026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46231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46231</v>
      </c>
      <c r="F410" t="inlineStr">
        <is>
          <t>JÖNKÖPINGS LÄN</t>
        </is>
      </c>
      <c r="G410" t="inlineStr">
        <is>
          <t>VÄRNAMO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45957</v>
      </c>
      <c r="E411" s="1" t="n">
        <v>46231</v>
      </c>
      <c r="F411" t="inlineStr">
        <is>
          <t>JÖNKÖPINGS LÄN</t>
        </is>
      </c>
      <c r="G411" t="inlineStr">
        <is>
          <t>VÄRNAMO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46231</v>
      </c>
      <c r="F412" t="inlineStr">
        <is>
          <t>JÖNKÖPINGS LÄN</t>
        </is>
      </c>
      <c r="G412" t="inlineStr">
        <is>
          <t>VÄRNAMO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53009-2025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45957</v>
      </c>
      <c r="E413" s="1" t="n">
        <v>46231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46231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46231</v>
      </c>
      <c r="F415" t="inlineStr">
        <is>
          <t>JÖNKÖPINGS LÄN</t>
        </is>
      </c>
      <c r="G415" t="inlineStr">
        <is>
          <t>VÄRNAMO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46231</v>
      </c>
      <c r="F416" t="inlineStr">
        <is>
          <t>JÖNKÖPINGS LÄN</t>
        </is>
      </c>
      <c r="G416" t="inlineStr">
        <is>
          <t>VÄRNAMO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12857-2022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44642</v>
      </c>
      <c r="E417" s="1" t="n">
        <v>46231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46231</v>
      </c>
      <c r="F418" t="inlineStr">
        <is>
          <t>JÖNKÖPINGS LÄN</t>
        </is>
      </c>
      <c r="G418" t="inlineStr">
        <is>
          <t>VÄRNAMO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46231</v>
      </c>
      <c r="F419" t="inlineStr">
        <is>
          <t>JÖNKÖPINGS LÄN</t>
        </is>
      </c>
      <c r="G419" t="inlineStr">
        <is>
          <t>VÄRNAMO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46231</v>
      </c>
      <c r="F420" t="inlineStr">
        <is>
          <t>JÖNKÖPINGS LÄN</t>
        </is>
      </c>
      <c r="G420" t="inlineStr">
        <is>
          <t>VÄRNAMO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57858-2024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46231</v>
      </c>
      <c r="F421" t="inlineStr">
        <is>
          <t>JÖNKÖPINGS LÄN</t>
        </is>
      </c>
      <c r="G421" t="inlineStr">
        <is>
          <t>VÄRNAMO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46231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24028-2026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46231</v>
      </c>
      <c r="F423" t="inlineStr">
        <is>
          <t>JÖNKÖPINGS LÄN</t>
        </is>
      </c>
      <c r="G423" t="inlineStr">
        <is>
          <t>VÄRNAMO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45721</v>
      </c>
      <c r="E424" s="1" t="n">
        <v>46231</v>
      </c>
      <c r="F424" t="inlineStr">
        <is>
          <t>JÖNKÖPINGS LÄN</t>
        </is>
      </c>
      <c r="G424" t="inlineStr">
        <is>
          <t>VÄRNAMO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46231</v>
      </c>
      <c r="F425" t="inlineStr">
        <is>
          <t>JÖNKÖPINGS LÄN</t>
        </is>
      </c>
      <c r="G425" t="inlineStr">
        <is>
          <t>VÄRNAMO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45608</v>
      </c>
      <c r="E426" s="1" t="n">
        <v>46231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44566</v>
      </c>
      <c r="E427" s="1" t="n">
        <v>46231</v>
      </c>
      <c r="F427" t="inlineStr">
        <is>
          <t>JÖNKÖPINGS LÄN</t>
        </is>
      </c>
      <c r="G427" t="inlineStr">
        <is>
          <t>VÄRNAMO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45635</v>
      </c>
      <c r="E428" s="1" t="n">
        <v>46231</v>
      </c>
      <c r="F428" t="inlineStr">
        <is>
          <t>JÖNKÖPINGS LÄN</t>
        </is>
      </c>
      <c r="G428" t="inlineStr">
        <is>
          <t>VÄRNAMO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46231</v>
      </c>
      <c r="F429" t="inlineStr">
        <is>
          <t>JÖNKÖPINGS LÄN</t>
        </is>
      </c>
      <c r="G429" t="inlineStr">
        <is>
          <t>VÄRNAMO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46231</v>
      </c>
      <c r="F430" t="inlineStr">
        <is>
          <t>JÖNKÖPINGS LÄN</t>
        </is>
      </c>
      <c r="G430" t="inlineStr">
        <is>
          <t>VÄRNAMO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24809-2026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46172</v>
      </c>
      <c r="E431" s="1" t="n">
        <v>46231</v>
      </c>
      <c r="F431" t="inlineStr">
        <is>
          <t>JÖNKÖPINGS LÄN</t>
        </is>
      </c>
      <c r="G431" t="inlineStr">
        <is>
          <t>VÄRNAMO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46231</v>
      </c>
      <c r="F432" t="inlineStr">
        <is>
          <t>JÖNKÖPINGS LÄN</t>
        </is>
      </c>
      <c r="G432" t="inlineStr">
        <is>
          <t>VÄRNAMO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11210-2024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45371</v>
      </c>
      <c r="E433" s="1" t="n">
        <v>46231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54502-2025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45965</v>
      </c>
      <c r="E434" s="1" t="n">
        <v>46231</v>
      </c>
      <c r="F434" t="inlineStr">
        <is>
          <t>JÖNKÖPINGS LÄN</t>
        </is>
      </c>
      <c r="G434" t="inlineStr">
        <is>
          <t>VÄRNAMO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46231</v>
      </c>
      <c r="F435" t="inlineStr">
        <is>
          <t>JÖNKÖPINGS LÄN</t>
        </is>
      </c>
      <c r="G435" t="inlineStr">
        <is>
          <t>VÄRNAMO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45645</v>
      </c>
      <c r="E436" s="1" t="n">
        <v>46231</v>
      </c>
      <c r="F436" t="inlineStr">
        <is>
          <t>JÖNKÖPINGS LÄN</t>
        </is>
      </c>
      <c r="G436" t="inlineStr">
        <is>
          <t>VÄRNAMO</t>
        </is>
      </c>
      <c r="I436" t="n">
        <v>13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45945</v>
      </c>
      <c r="E437" s="1" t="n">
        <v>46231</v>
      </c>
      <c r="F437" t="inlineStr">
        <is>
          <t>JÖNKÖPINGS LÄN</t>
        </is>
      </c>
      <c r="G437" t="inlineStr">
        <is>
          <t>VÄRNAMO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45684</v>
      </c>
      <c r="E438" s="1" t="n">
        <v>46231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46231</v>
      </c>
      <c r="F439" t="inlineStr">
        <is>
          <t>JÖNKÖPINGS LÄN</t>
        </is>
      </c>
      <c r="G439" t="inlineStr">
        <is>
          <t>VÄRNAMO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46231</v>
      </c>
      <c r="F440" t="inlineStr">
        <is>
          <t>JÖNKÖPINGS LÄN</t>
        </is>
      </c>
      <c r="G440" t="inlineStr">
        <is>
          <t>VÄRNAMO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11428-2024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45372</v>
      </c>
      <c r="E441" s="1" t="n">
        <v>46231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40226-2024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45554</v>
      </c>
      <c r="E442" s="1" t="n">
        <v>46231</v>
      </c>
      <c r="F442" t="inlineStr">
        <is>
          <t>JÖNKÖPINGS LÄN</t>
        </is>
      </c>
      <c r="G442" t="inlineStr">
        <is>
          <t>VÄRNAMO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18890-2023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45044</v>
      </c>
      <c r="E443" s="1" t="n">
        <v>46231</v>
      </c>
      <c r="F443" t="inlineStr">
        <is>
          <t>JÖNKÖPINGS LÄN</t>
        </is>
      </c>
      <c r="G443" t="inlineStr">
        <is>
          <t>VÄRNAMO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7727-2022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44608</v>
      </c>
      <c r="E444" s="1" t="n">
        <v>46231</v>
      </c>
      <c r="F444" t="inlineStr">
        <is>
          <t>JÖNKÖPINGS LÄN</t>
        </is>
      </c>
      <c r="G444" t="inlineStr">
        <is>
          <t>VÄRNAMO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60105-2024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46231</v>
      </c>
      <c r="F445" t="inlineStr">
        <is>
          <t>JÖNKÖPINGS LÄN</t>
        </is>
      </c>
      <c r="G445" t="inlineStr">
        <is>
          <t>VÄRNAMO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45967</v>
      </c>
      <c r="E446" s="1" t="n">
        <v>46231</v>
      </c>
      <c r="F446" t="inlineStr">
        <is>
          <t>JÖNKÖPINGS LÄN</t>
        </is>
      </c>
      <c r="G446" t="inlineStr">
        <is>
          <t>VÄRNAMO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15105-2026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46101</v>
      </c>
      <c r="E447" s="1" t="n">
        <v>46231</v>
      </c>
      <c r="F447" t="inlineStr">
        <is>
          <t>JÖNKÖPINGS LÄN</t>
        </is>
      </c>
      <c r="G447" t="inlineStr">
        <is>
          <t>VÄRNAMO</t>
        </is>
      </c>
      <c r="I447" t="n">
        <v>58.2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46093</v>
      </c>
      <c r="E448" s="1" t="n">
        <v>46231</v>
      </c>
      <c r="F448" t="inlineStr">
        <is>
          <t>JÖNKÖPINGS LÄN</t>
        </is>
      </c>
      <c r="G448" t="inlineStr">
        <is>
          <t>VÄRNAMO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51893-2024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45607</v>
      </c>
      <c r="E449" s="1" t="n">
        <v>46231</v>
      </c>
      <c r="F449" t="inlineStr">
        <is>
          <t>JÖNKÖPINGS LÄN</t>
        </is>
      </c>
      <c r="G449" t="inlineStr">
        <is>
          <t>VÄRNAMO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46231</v>
      </c>
      <c r="F450" t="inlineStr">
        <is>
          <t>JÖNKÖPINGS LÄN</t>
        </is>
      </c>
      <c r="G450" t="inlineStr">
        <is>
          <t>VÄRNAMO</t>
        </is>
      </c>
      <c r="H450" t="inlineStr">
        <is>
          <t>Kommuner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55454-2025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46231</v>
      </c>
      <c r="F451" t="inlineStr">
        <is>
          <t>JÖNKÖPINGS LÄN</t>
        </is>
      </c>
      <c r="G451" t="inlineStr">
        <is>
          <t>VÄRNAMO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46231</v>
      </c>
      <c r="F452" t="inlineStr">
        <is>
          <t>JÖNKÖPINGS LÄN</t>
        </is>
      </c>
      <c r="G452" t="inlineStr">
        <is>
          <t>VÄRNAMO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55448-2025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46231</v>
      </c>
      <c r="F453" t="inlineStr">
        <is>
          <t>JÖNKÖPINGS LÄN</t>
        </is>
      </c>
      <c r="G453" t="inlineStr">
        <is>
          <t>VÄRNAMO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44699</v>
      </c>
      <c r="E454" s="1" t="n">
        <v>46231</v>
      </c>
      <c r="F454" t="inlineStr">
        <is>
          <t>JÖNKÖPINGS LÄN</t>
        </is>
      </c>
      <c r="G454" t="inlineStr">
        <is>
          <t>VÄRNAMO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55447-2025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46231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46231</v>
      </c>
      <c r="F456" t="inlineStr">
        <is>
          <t>JÖNKÖPINGS LÄN</t>
        </is>
      </c>
      <c r="G456" t="inlineStr">
        <is>
          <t>VÄRNAMO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46231</v>
      </c>
      <c r="F457" t="inlineStr">
        <is>
          <t>JÖNKÖPINGS LÄN</t>
        </is>
      </c>
      <c r="G457" t="inlineStr">
        <is>
          <t>VÄRNAMO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20199-2022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46231</v>
      </c>
      <c r="F458" t="inlineStr">
        <is>
          <t>JÖNKÖPINGS LÄN</t>
        </is>
      </c>
      <c r="G458" t="inlineStr">
        <is>
          <t>VÄRNAMO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26803-2023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45093</v>
      </c>
      <c r="E459" s="1" t="n">
        <v>46231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55777-2025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46231</v>
      </c>
      <c r="F460" t="inlineStr">
        <is>
          <t>JÖNKÖPINGS LÄN</t>
        </is>
      </c>
      <c r="G460" t="inlineStr">
        <is>
          <t>VÄRNAMO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41316-2023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46231</v>
      </c>
      <c r="F461" t="inlineStr">
        <is>
          <t>JÖNKÖPINGS LÄN</t>
        </is>
      </c>
      <c r="G461" t="inlineStr">
        <is>
          <t>VÄRNAMO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46231</v>
      </c>
      <c r="F462" t="inlineStr">
        <is>
          <t>JÖNKÖPINGS LÄN</t>
        </is>
      </c>
      <c r="G462" t="inlineStr">
        <is>
          <t>VÄRNAMO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46231</v>
      </c>
      <c r="F463" t="inlineStr">
        <is>
          <t>JÖNKÖPINGS LÄN</t>
        </is>
      </c>
      <c r="G463" t="inlineStr">
        <is>
          <t>VÄRNAMO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45188</v>
      </c>
      <c r="E464" s="1" t="n">
        <v>46231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45769</v>
      </c>
      <c r="E465" s="1" t="n">
        <v>46231</v>
      </c>
      <c r="F465" t="inlineStr">
        <is>
          <t>JÖNKÖPINGS LÄN</t>
        </is>
      </c>
      <c r="G465" t="inlineStr">
        <is>
          <t>VÄRNAMO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46183</v>
      </c>
      <c r="E466" s="1" t="n">
        <v>46231</v>
      </c>
      <c r="F466" t="inlineStr">
        <is>
          <t>JÖNKÖPINGS LÄN</t>
        </is>
      </c>
      <c r="G466" t="inlineStr">
        <is>
          <t>VÄRNAMO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63430-2023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45274</v>
      </c>
      <c r="E467" s="1" t="n">
        <v>46231</v>
      </c>
      <c r="F467" t="inlineStr">
        <is>
          <t>JÖNKÖPINGS LÄN</t>
        </is>
      </c>
      <c r="G467" t="inlineStr">
        <is>
          <t>VÄRNAMO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46231</v>
      </c>
      <c r="F468" t="inlineStr">
        <is>
          <t>JÖNKÖPINGS LÄN</t>
        </is>
      </c>
      <c r="G468" t="inlineStr">
        <is>
          <t>VÄRNAMO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17323-2022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44678</v>
      </c>
      <c r="E469" s="1" t="n">
        <v>46231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45258</v>
      </c>
      <c r="E470" s="1" t="n">
        <v>46231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46231</v>
      </c>
      <c r="F471" t="inlineStr">
        <is>
          <t>JÖNKÖPINGS LÄN</t>
        </is>
      </c>
      <c r="G471" t="inlineStr">
        <is>
          <t>VÄRNAMO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46231</v>
      </c>
      <c r="F472" t="inlineStr">
        <is>
          <t>JÖNKÖPINGS LÄN</t>
        </is>
      </c>
      <c r="G472" t="inlineStr">
        <is>
          <t>VÄRNAMO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46231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46230</v>
      </c>
      <c r="E474" s="1" t="n">
        <v>46231</v>
      </c>
      <c r="F474" t="inlineStr">
        <is>
          <t>JÖNKÖPINGS LÄN</t>
        </is>
      </c>
      <c r="G474" t="inlineStr">
        <is>
          <t>VÄRNAMO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46231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46231</v>
      </c>
      <c r="F476" t="inlineStr">
        <is>
          <t>JÖNKÖPINGS LÄN</t>
        </is>
      </c>
      <c r="G476" t="inlineStr">
        <is>
          <t>VÄRNAMO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45688</v>
      </c>
      <c r="E477" s="1" t="n">
        <v>46231</v>
      </c>
      <c r="F477" t="inlineStr">
        <is>
          <t>JÖNKÖPINGS LÄN</t>
        </is>
      </c>
      <c r="G477" t="inlineStr">
        <is>
          <t>VÄRNAMO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46231</v>
      </c>
      <c r="F478" t="inlineStr">
        <is>
          <t>JÖNKÖPINGS LÄN</t>
        </is>
      </c>
      <c r="G478" t="inlineStr">
        <is>
          <t>VÄRNAMO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55749-2023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45239</v>
      </c>
      <c r="E479" s="1" t="n">
        <v>46231</v>
      </c>
      <c r="F479" t="inlineStr">
        <is>
          <t>JÖNKÖPINGS LÄN</t>
        </is>
      </c>
      <c r="G479" t="inlineStr">
        <is>
          <t>VÄRNAMO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27153-2026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46188</v>
      </c>
      <c r="E480" s="1" t="n">
        <v>46231</v>
      </c>
      <c r="F480" t="inlineStr">
        <is>
          <t>JÖNKÖPINGS LÄN</t>
        </is>
      </c>
      <c r="G480" t="inlineStr">
        <is>
          <t>VÄRNAMO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57719-2025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45981</v>
      </c>
      <c r="E481" s="1" t="n">
        <v>46231</v>
      </c>
      <c r="F481" t="inlineStr">
        <is>
          <t>JÖNKÖPINGS LÄN</t>
        </is>
      </c>
      <c r="G481" t="inlineStr">
        <is>
          <t>VÄRNAMO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46231</v>
      </c>
      <c r="F482" t="inlineStr">
        <is>
          <t>JÖNKÖPINGS LÄN</t>
        </is>
      </c>
      <c r="G482" t="inlineStr">
        <is>
          <t>VÄRNAMO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46231</v>
      </c>
      <c r="F483" t="inlineStr">
        <is>
          <t>JÖNKÖPINGS LÄN</t>
        </is>
      </c>
      <c r="G483" t="inlineStr">
        <is>
          <t>VÄRNAMO</t>
        </is>
      </c>
      <c r="H483" t="inlineStr">
        <is>
          <t>Kommuner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46230</v>
      </c>
      <c r="E484" s="1" t="n">
        <v>46231</v>
      </c>
      <c r="F484" t="inlineStr">
        <is>
          <t>JÖNKÖPINGS LÄN</t>
        </is>
      </c>
      <c r="G484" t="inlineStr">
        <is>
          <t>VÄRNAMO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46230</v>
      </c>
      <c r="E485" s="1" t="n">
        <v>46231</v>
      </c>
      <c r="F485" t="inlineStr">
        <is>
          <t>JÖNKÖPINGS LÄN</t>
        </is>
      </c>
      <c r="G485" t="inlineStr">
        <is>
          <t>VÄRNAMO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58784-2025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46231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46231</v>
      </c>
      <c r="F487" t="inlineStr">
        <is>
          <t>JÖNKÖPINGS LÄN</t>
        </is>
      </c>
      <c r="G487" t="inlineStr">
        <is>
          <t>VÄRNAMO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46940-2022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44851</v>
      </c>
      <c r="E488" s="1" t="n">
        <v>46231</v>
      </c>
      <c r="F488" t="inlineStr">
        <is>
          <t>JÖNKÖPINGS LÄN</t>
        </is>
      </c>
      <c r="G488" t="inlineStr">
        <is>
          <t>VÄRNAMO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46231</v>
      </c>
      <c r="F489" t="inlineStr">
        <is>
          <t>JÖNKÖPINGS LÄN</t>
        </is>
      </c>
      <c r="G489" t="inlineStr">
        <is>
          <t>VÄRNAMO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45238</v>
      </c>
      <c r="E490" s="1" t="n">
        <v>46231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10.6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58828-2025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45987</v>
      </c>
      <c r="E491" s="1" t="n">
        <v>46231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45987</v>
      </c>
      <c r="E492" s="1" t="n">
        <v>46231</v>
      </c>
      <c r="F492" t="inlineStr">
        <is>
          <t>JÖNKÖPINGS LÄN</t>
        </is>
      </c>
      <c r="G492" t="inlineStr">
        <is>
          <t>VÄRNAMO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25102-2022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44729</v>
      </c>
      <c r="E493" s="1" t="n">
        <v>46231</v>
      </c>
      <c r="F493" t="inlineStr">
        <is>
          <t>JÖNKÖPINGS LÄN</t>
        </is>
      </c>
      <c r="G493" t="inlineStr">
        <is>
          <t>VÄRNAMO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45243</v>
      </c>
      <c r="E494" s="1" t="n">
        <v>46231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45989</v>
      </c>
      <c r="E495" s="1" t="n">
        <v>46231</v>
      </c>
      <c r="F495" t="inlineStr">
        <is>
          <t>JÖNKÖPINGS LÄN</t>
        </is>
      </c>
      <c r="G495" t="inlineStr">
        <is>
          <t>VÄRNAMO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18434-2022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44686</v>
      </c>
      <c r="E496" s="1" t="n">
        <v>46231</v>
      </c>
      <c r="F496" t="inlineStr">
        <is>
          <t>JÖNKÖPINGS LÄN</t>
        </is>
      </c>
      <c r="G496" t="inlineStr">
        <is>
          <t>VÄRNAMO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60037-2022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44909</v>
      </c>
      <c r="E497" s="1" t="n">
        <v>46231</v>
      </c>
      <c r="F497" t="inlineStr">
        <is>
          <t>JÖNKÖPINGS LÄN</t>
        </is>
      </c>
      <c r="G497" t="inlineStr">
        <is>
          <t>VÄRNAMO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59881-2025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45993</v>
      </c>
      <c r="E498" s="1" t="n">
        <v>46231</v>
      </c>
      <c r="F498" t="inlineStr">
        <is>
          <t>JÖNKÖPINGS LÄN</t>
        </is>
      </c>
      <c r="G498" t="inlineStr">
        <is>
          <t>VÄRNAMO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45993</v>
      </c>
      <c r="E499" s="1" t="n">
        <v>46231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46231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61608-2023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45265</v>
      </c>
      <c r="E501" s="1" t="n">
        <v>46231</v>
      </c>
      <c r="F501" t="inlineStr">
        <is>
          <t>JÖNKÖPINGS LÄN</t>
        </is>
      </c>
      <c r="G501" t="inlineStr">
        <is>
          <t>VÄRNAMO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63027-2023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45272</v>
      </c>
      <c r="E502" s="1" t="n">
        <v>46231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60481-2025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46231</v>
      </c>
      <c r="F503" t="inlineStr">
        <is>
          <t>JÖNKÖPINGS LÄN</t>
        </is>
      </c>
      <c r="G503" t="inlineStr">
        <is>
          <t>VÄRNAMO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45320</v>
      </c>
      <c r="E504" s="1" t="n">
        <v>46231</v>
      </c>
      <c r="F504" t="inlineStr">
        <is>
          <t>JÖNKÖPINGS LÄN</t>
        </is>
      </c>
      <c r="G504" t="inlineStr">
        <is>
          <t>VÄRNAMO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46001</v>
      </c>
      <c r="E505" s="1" t="n">
        <v>46231</v>
      </c>
      <c r="F505" t="inlineStr">
        <is>
          <t>JÖNKÖPINGS LÄN</t>
        </is>
      </c>
      <c r="G505" t="inlineStr">
        <is>
          <t>VÄRNAMO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46231</v>
      </c>
      <c r="F506" t="inlineStr">
        <is>
          <t>JÖNKÖPINGS LÄN</t>
        </is>
      </c>
      <c r="G506" t="inlineStr">
        <is>
          <t>VÄRNAMO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48697-2022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44859</v>
      </c>
      <c r="E507" s="1" t="n">
        <v>46231</v>
      </c>
      <c r="F507" t="inlineStr">
        <is>
          <t>JÖNKÖPINGS LÄN</t>
        </is>
      </c>
      <c r="G507" t="inlineStr">
        <is>
          <t>VÄRNAMO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46231</v>
      </c>
      <c r="F508" t="inlineStr">
        <is>
          <t>JÖNKÖPINGS LÄN</t>
        </is>
      </c>
      <c r="G508" t="inlineStr">
        <is>
          <t>VÄRNAMO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46231</v>
      </c>
      <c r="F509" t="inlineStr">
        <is>
          <t>JÖNKÖPINGS LÄN</t>
        </is>
      </c>
      <c r="G509" t="inlineStr">
        <is>
          <t>VÄRNAMO</t>
        </is>
      </c>
      <c r="I509" t="n">
        <v>10.3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61931-2025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46231</v>
      </c>
      <c r="F510" t="inlineStr">
        <is>
          <t>JÖNKÖPINGS LÄN</t>
        </is>
      </c>
      <c r="G510" t="inlineStr">
        <is>
          <t>VÄRNAMO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62274-2025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46006</v>
      </c>
      <c r="E511" s="1" t="n">
        <v>46231</v>
      </c>
      <c r="F511" t="inlineStr">
        <is>
          <t>JÖNKÖPINGS LÄN</t>
        </is>
      </c>
      <c r="G511" t="inlineStr">
        <is>
          <t>VÄRNAMO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62302-2025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46231</v>
      </c>
      <c r="F512" t="inlineStr">
        <is>
          <t>JÖNKÖPINGS LÄN</t>
        </is>
      </c>
      <c r="G512" t="inlineStr">
        <is>
          <t>VÄRNAMO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46231</v>
      </c>
      <c r="F513" t="inlineStr">
        <is>
          <t>JÖNKÖPINGS LÄN</t>
        </is>
      </c>
      <c r="G513" t="inlineStr">
        <is>
          <t>VÄRNAMO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64002-2023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45278</v>
      </c>
      <c r="E514" s="1" t="n">
        <v>46231</v>
      </c>
      <c r="F514" t="inlineStr">
        <is>
          <t>JÖNKÖPINGS LÄN</t>
        </is>
      </c>
      <c r="G514" t="inlineStr">
        <is>
          <t>VÄRNAMO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64048-2023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45279</v>
      </c>
      <c r="E515" s="1" t="n">
        <v>46231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46231</v>
      </c>
      <c r="F516" t="inlineStr">
        <is>
          <t>JÖNKÖPINGS LÄN</t>
        </is>
      </c>
      <c r="G516" t="inlineStr">
        <is>
          <t>VÄRNAMO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39965-2022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44820</v>
      </c>
      <c r="E517" s="1" t="n">
        <v>46231</v>
      </c>
      <c r="F517" t="inlineStr">
        <is>
          <t>JÖNKÖPINGS LÄN</t>
        </is>
      </c>
      <c r="G517" t="inlineStr">
        <is>
          <t>VÄRNAMO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62655-2025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46231</v>
      </c>
      <c r="F518" t="inlineStr">
        <is>
          <t>JÖNKÖPINGS LÄN</t>
        </is>
      </c>
      <c r="G518" t="inlineStr">
        <is>
          <t>VÄRNAMO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46007</v>
      </c>
      <c r="E519" s="1" t="n">
        <v>46231</v>
      </c>
      <c r="F519" t="inlineStr">
        <is>
          <t>JÖNKÖPINGS LÄN</t>
        </is>
      </c>
      <c r="G519" t="inlineStr">
        <is>
          <t>VÄRNAMO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45509</v>
      </c>
      <c r="E520" s="1" t="n">
        <v>46231</v>
      </c>
      <c r="F520" t="inlineStr">
        <is>
          <t>JÖNKÖPINGS LÄN</t>
        </is>
      </c>
      <c r="G520" t="inlineStr">
        <is>
          <t>VÄRNAMO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42830-2024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45566</v>
      </c>
      <c r="E521" s="1" t="n">
        <v>46231</v>
      </c>
      <c r="F521" t="inlineStr">
        <is>
          <t>JÖNKÖPINGS LÄN</t>
        </is>
      </c>
      <c r="G521" t="inlineStr">
        <is>
          <t>VÄRNAMO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46010</v>
      </c>
      <c r="E522" s="1" t="n">
        <v>46231</v>
      </c>
      <c r="F522" t="inlineStr">
        <is>
          <t>JÖNKÖPINGS LÄN</t>
        </is>
      </c>
      <c r="G522" t="inlineStr">
        <is>
          <t>VÄRNAMO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52780-2024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45610</v>
      </c>
      <c r="E523" s="1" t="n">
        <v>46231</v>
      </c>
      <c r="F523" t="inlineStr">
        <is>
          <t>JÖNKÖPINGS LÄN</t>
        </is>
      </c>
      <c r="G523" t="inlineStr">
        <is>
          <t>VÄRNAMO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45701</v>
      </c>
      <c r="E524" s="1" t="n">
        <v>46231</v>
      </c>
      <c r="F524" t="inlineStr">
        <is>
          <t>JÖNKÖPINGS LÄN</t>
        </is>
      </c>
      <c r="G524" t="inlineStr">
        <is>
          <t>VÄRNAMO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45308</v>
      </c>
      <c r="E525" s="1" t="n">
        <v>46231</v>
      </c>
      <c r="F525" t="inlineStr">
        <is>
          <t>JÖNKÖPINGS LÄN</t>
        </is>
      </c>
      <c r="G525" t="inlineStr">
        <is>
          <t>VÄRNAMO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1246-2024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45302</v>
      </c>
      <c r="E526" s="1" t="n">
        <v>46231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44936</v>
      </c>
      <c r="E527" s="1" t="n">
        <v>46231</v>
      </c>
      <c r="F527" t="inlineStr">
        <is>
          <t>JÖNKÖPINGS LÄN</t>
        </is>
      </c>
      <c r="G527" t="inlineStr">
        <is>
          <t>VÄRNAMO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53533-2023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45223</v>
      </c>
      <c r="E528" s="1" t="n">
        <v>46231</v>
      </c>
      <c r="F528" t="inlineStr">
        <is>
          <t>JÖNKÖPINGS LÄN</t>
        </is>
      </c>
      <c r="G528" t="inlineStr">
        <is>
          <t>VÄRNAMO</t>
        </is>
      </c>
      <c r="H528" t="inlineStr">
        <is>
          <t>Kyrkan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45308</v>
      </c>
      <c r="E529" s="1" t="n">
        <v>46231</v>
      </c>
      <c r="F529" t="inlineStr">
        <is>
          <t>JÖNKÖPINGS LÄN</t>
        </is>
      </c>
      <c r="G529" t="inlineStr">
        <is>
          <t>VÄRNAMO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45308</v>
      </c>
      <c r="E530" s="1" t="n">
        <v>46231</v>
      </c>
      <c r="F530" t="inlineStr">
        <is>
          <t>JÖNKÖPINGS LÄN</t>
        </is>
      </c>
      <c r="G530" t="inlineStr">
        <is>
          <t>VÄRNAMO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13065-2025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45734</v>
      </c>
      <c r="E531" s="1" t="n">
        <v>46231</v>
      </c>
      <c r="F531" t="inlineStr">
        <is>
          <t>JÖNKÖPINGS LÄN</t>
        </is>
      </c>
      <c r="G531" t="inlineStr">
        <is>
          <t>VÄRNAMO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44993</v>
      </c>
      <c r="E532" s="1" t="n">
        <v>46231</v>
      </c>
      <c r="F532" t="inlineStr">
        <is>
          <t>JÖNKÖPINGS LÄN</t>
        </is>
      </c>
      <c r="G532" t="inlineStr">
        <is>
          <t>VÄRNAMO</t>
        </is>
      </c>
      <c r="H532" t="inlineStr">
        <is>
          <t>Kommuner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48289-2024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45590</v>
      </c>
      <c r="E533" s="1" t="n">
        <v>46231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14536-2024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45394</v>
      </c>
      <c r="E534" s="1" t="n">
        <v>46231</v>
      </c>
      <c r="F534" t="inlineStr">
        <is>
          <t>JÖNKÖPINGS LÄN</t>
        </is>
      </c>
      <c r="G534" t="inlineStr">
        <is>
          <t>VÄRNAMO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14353-2022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44652</v>
      </c>
      <c r="E535" s="1" t="n">
        <v>46231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44677-2022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46231</v>
      </c>
      <c r="F536" t="inlineStr">
        <is>
          <t>JÖNKÖPINGS LÄN</t>
        </is>
      </c>
      <c r="G536" t="inlineStr">
        <is>
          <t>VÄRNAMO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45443</v>
      </c>
      <c r="E537" s="1" t="n">
        <v>46231</v>
      </c>
      <c r="F537" t="inlineStr">
        <is>
          <t>JÖNKÖPINGS LÄN</t>
        </is>
      </c>
      <c r="G537" t="inlineStr">
        <is>
          <t>VÄRNAMO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44985</v>
      </c>
      <c r="E538" s="1" t="n">
        <v>46231</v>
      </c>
      <c r="F538" t="inlineStr">
        <is>
          <t>JÖNKÖPINGS LÄN</t>
        </is>
      </c>
      <c r="G538" t="inlineStr">
        <is>
          <t>VÄRNAMO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44928</v>
      </c>
      <c r="E539" s="1" t="n">
        <v>46231</v>
      </c>
      <c r="F539" t="inlineStr">
        <is>
          <t>JÖNKÖPINGS LÄN</t>
        </is>
      </c>
      <c r="G539" t="inlineStr">
        <is>
          <t>VÄRNAMO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45566</v>
      </c>
      <c r="E540" s="1" t="n">
        <v>46231</v>
      </c>
      <c r="F540" t="inlineStr">
        <is>
          <t>JÖNKÖPINGS LÄN</t>
        </is>
      </c>
      <c r="G540" t="inlineStr">
        <is>
          <t>VÄRNAMO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46231</v>
      </c>
      <c r="F541" t="inlineStr">
        <is>
          <t>JÖNKÖPINGS LÄN</t>
        </is>
      </c>
      <c r="G541" t="inlineStr">
        <is>
          <t>VÄRNAMO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45607</v>
      </c>
      <c r="E542" s="1" t="n">
        <v>46231</v>
      </c>
      <c r="F542" t="inlineStr">
        <is>
          <t>JÖNKÖPINGS LÄN</t>
        </is>
      </c>
      <c r="G542" t="inlineStr">
        <is>
          <t>VÄRNAMO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45200</v>
      </c>
      <c r="E543" s="1" t="n">
        <v>46231</v>
      </c>
      <c r="F543" t="inlineStr">
        <is>
          <t>JÖNKÖPINGS LÄN</t>
        </is>
      </c>
      <c r="G543" t="inlineStr">
        <is>
          <t>VÄRNAMO</t>
        </is>
      </c>
      <c r="H543" t="inlineStr">
        <is>
          <t>Övriga Aktiebolag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55606-2024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45622</v>
      </c>
      <c r="E544" s="1" t="n">
        <v>46231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45187</v>
      </c>
      <c r="E545" s="1" t="n">
        <v>46231</v>
      </c>
      <c r="F545" t="inlineStr">
        <is>
          <t>JÖNKÖPINGS LÄN</t>
        </is>
      </c>
      <c r="G545" t="inlineStr">
        <is>
          <t>VÄRNAMO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47738-2023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45203</v>
      </c>
      <c r="E546" s="1" t="n">
        <v>46231</v>
      </c>
      <c r="F546" t="inlineStr">
        <is>
          <t>JÖNKÖPINGS LÄN</t>
        </is>
      </c>
      <c r="G546" t="inlineStr">
        <is>
          <t>VÄRNAMO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46231</v>
      </c>
      <c r="F547" t="inlineStr">
        <is>
          <t>JÖNKÖPINGS LÄN</t>
        </is>
      </c>
      <c r="G547" t="inlineStr">
        <is>
          <t>VÄRNAMO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61503-2021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44501</v>
      </c>
      <c r="E548" s="1" t="n">
        <v>46231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62276-2023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45267</v>
      </c>
      <c r="E549" s="1" t="n">
        <v>46231</v>
      </c>
      <c r="F549" t="inlineStr">
        <is>
          <t>JÖNKÖPINGS LÄN</t>
        </is>
      </c>
      <c r="G549" t="inlineStr">
        <is>
          <t>VÄRNAMO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45818-2022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44846</v>
      </c>
      <c r="E550" s="1" t="n">
        <v>46231</v>
      </c>
      <c r="F550" t="inlineStr">
        <is>
          <t>JÖNKÖPINGS LÄN</t>
        </is>
      </c>
      <c r="G550" t="inlineStr">
        <is>
          <t>VÄRNAMO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18600-2023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45043</v>
      </c>
      <c r="E551" s="1" t="n">
        <v>46231</v>
      </c>
      <c r="F551" t="inlineStr">
        <is>
          <t>JÖNKÖPINGS LÄN</t>
        </is>
      </c>
      <c r="G551" t="inlineStr">
        <is>
          <t>VÄRNAMO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9305-2022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44616</v>
      </c>
      <c r="E552" s="1" t="n">
        <v>46231</v>
      </c>
      <c r="F552" t="inlineStr">
        <is>
          <t>JÖNKÖPINGS LÄN</t>
        </is>
      </c>
      <c r="G552" t="inlineStr">
        <is>
          <t>VÄRNAMO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57119-2023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45245</v>
      </c>
      <c r="E553" s="1" t="n">
        <v>46231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57371-2023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45245</v>
      </c>
      <c r="E554" s="1" t="n">
        <v>46231</v>
      </c>
      <c r="F554" t="inlineStr">
        <is>
          <t>JÖNKÖPINGS LÄN</t>
        </is>
      </c>
      <c r="G554" t="inlineStr">
        <is>
          <t>VÄRNAMO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51474-2023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45221</v>
      </c>
      <c r="E555" s="1" t="n">
        <v>46231</v>
      </c>
      <c r="F555" t="inlineStr">
        <is>
          <t>JÖNKÖPINGS LÄN</t>
        </is>
      </c>
      <c r="G555" t="inlineStr">
        <is>
          <t>VÄRNAMO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44971</v>
      </c>
      <c r="E556" s="1" t="n">
        <v>46231</v>
      </c>
      <c r="F556" t="inlineStr">
        <is>
          <t>JÖNKÖPINGS LÄN</t>
        </is>
      </c>
      <c r="G556" t="inlineStr">
        <is>
          <t>VÄRNAMO</t>
        </is>
      </c>
      <c r="H556" t="inlineStr">
        <is>
          <t>Kommuner</t>
        </is>
      </c>
      <c r="I556" t="n">
        <v>12.9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27527-2024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46231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45642</v>
      </c>
      <c r="E558" s="1" t="n">
        <v>46231</v>
      </c>
      <c r="F558" t="inlineStr">
        <is>
          <t>JÖNKÖPINGS LÄN</t>
        </is>
      </c>
      <c r="G558" t="inlineStr">
        <is>
          <t>VÄRNAMO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58766-2022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46231</v>
      </c>
      <c r="F559" t="inlineStr">
        <is>
          <t>JÖNKÖPINGS LÄN</t>
        </is>
      </c>
      <c r="G559" t="inlineStr">
        <is>
          <t>VÄRNAMO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12892-2022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44642</v>
      </c>
      <c r="E560" s="1" t="n">
        <v>46231</v>
      </c>
      <c r="F560" t="inlineStr">
        <is>
          <t>JÖNKÖPINGS LÄN</t>
        </is>
      </c>
      <c r="G560" t="inlineStr">
        <is>
          <t>VÄRNAMO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44577</v>
      </c>
      <c r="E561" s="1" t="n">
        <v>46231</v>
      </c>
      <c r="F561" t="inlineStr">
        <is>
          <t>JÖNKÖPINGS LÄN</t>
        </is>
      </c>
      <c r="G561" t="inlineStr">
        <is>
          <t>VÄRNAMO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46231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63443-2023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45274</v>
      </c>
      <c r="E563" s="1" t="n">
        <v>46231</v>
      </c>
      <c r="F563" t="inlineStr">
        <is>
          <t>JÖNKÖPINGS LÄN</t>
        </is>
      </c>
      <c r="G563" t="inlineStr">
        <is>
          <t>VÄRNAMO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45175</v>
      </c>
      <c r="E564" s="1" t="n">
        <v>46231</v>
      </c>
      <c r="F564" t="inlineStr">
        <is>
          <t>JÖNKÖPINGS LÄN</t>
        </is>
      </c>
      <c r="G564" t="inlineStr">
        <is>
          <t>VÄRNAMO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30617-2023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46231</v>
      </c>
      <c r="F565" t="inlineStr">
        <is>
          <t>JÖNKÖPINGS LÄN</t>
        </is>
      </c>
      <c r="G565" t="inlineStr">
        <is>
          <t>VÄRNAMO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45369</v>
      </c>
      <c r="E566" s="1" t="n">
        <v>46231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13190-2024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45386</v>
      </c>
      <c r="E567" s="1" t="n">
        <v>46231</v>
      </c>
      <c r="F567" t="inlineStr">
        <is>
          <t>JÖNKÖPINGS LÄN</t>
        </is>
      </c>
      <c r="G567" t="inlineStr">
        <is>
          <t>VÄRNAMO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8913-2024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46231</v>
      </c>
      <c r="F568" t="inlineStr">
        <is>
          <t>JÖNKÖPINGS LÄN</t>
        </is>
      </c>
      <c r="G568" t="inlineStr">
        <is>
          <t>VÄRNAMO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45563</v>
      </c>
      <c r="E569" s="1" t="n">
        <v>46231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15248-2024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46231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60097-2024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45642</v>
      </c>
      <c r="E571" s="1" t="n">
        <v>46231</v>
      </c>
      <c r="F571" t="inlineStr">
        <is>
          <t>JÖNKÖPINGS LÄN</t>
        </is>
      </c>
      <c r="G571" t="inlineStr">
        <is>
          <t>VÄRNAMO</t>
        </is>
      </c>
      <c r="H571" t="inlineStr">
        <is>
          <t>Sveaskog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23922-2023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45078</v>
      </c>
      <c r="E572" s="1" t="n">
        <v>46231</v>
      </c>
      <c r="F572" t="inlineStr">
        <is>
          <t>JÖNKÖPINGS LÄN</t>
        </is>
      </c>
      <c r="G572" t="inlineStr">
        <is>
          <t>VÄRNAMO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45372</v>
      </c>
      <c r="E573" s="1" t="n">
        <v>46231</v>
      </c>
      <c r="F573" t="inlineStr">
        <is>
          <t>JÖNKÖPINGS LÄN</t>
        </is>
      </c>
      <c r="G573" t="inlineStr">
        <is>
          <t>VÄRNAMO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45009</v>
      </c>
      <c r="E574" s="1" t="n">
        <v>46231</v>
      </c>
      <c r="F574" t="inlineStr">
        <is>
          <t>JÖNKÖPINGS LÄN</t>
        </is>
      </c>
      <c r="G574" t="inlineStr">
        <is>
          <t>VÄRNAMO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46231</v>
      </c>
      <c r="F575" t="inlineStr">
        <is>
          <t>JÖNKÖPINGS LÄN</t>
        </is>
      </c>
      <c r="G575" t="inlineStr">
        <is>
          <t>VÄRNAMO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29089-2023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45105</v>
      </c>
      <c r="E576" s="1" t="n">
        <v>46231</v>
      </c>
      <c r="F576" t="inlineStr">
        <is>
          <t>JÖNKÖPINGS LÄN</t>
        </is>
      </c>
      <c r="G576" t="inlineStr">
        <is>
          <t>VÄRNAMO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45105</v>
      </c>
      <c r="E577" s="1" t="n">
        <v>46231</v>
      </c>
      <c r="F577" t="inlineStr">
        <is>
          <t>JÖNKÖPINGS LÄN</t>
        </is>
      </c>
      <c r="G577" t="inlineStr">
        <is>
          <t>VÄRNAMO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29166-2023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45105</v>
      </c>
      <c r="E578" s="1" t="n">
        <v>46231</v>
      </c>
      <c r="F578" t="inlineStr">
        <is>
          <t>JÖNKÖPINGS LÄN</t>
        </is>
      </c>
      <c r="G578" t="inlineStr">
        <is>
          <t>VÄRNAMO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24703-2022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44727</v>
      </c>
      <c r="E579" s="1" t="n">
        <v>46231</v>
      </c>
      <c r="F579" t="inlineStr">
        <is>
          <t>JÖNKÖPINGS LÄN</t>
        </is>
      </c>
      <c r="G579" t="inlineStr">
        <is>
          <t>VÄRNAMO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45678</v>
      </c>
      <c r="E580" s="1" t="n">
        <v>46231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38484-2023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45162</v>
      </c>
      <c r="E581" s="1" t="n">
        <v>46231</v>
      </c>
      <c r="F581" t="inlineStr">
        <is>
          <t>JÖNKÖPINGS LÄN</t>
        </is>
      </c>
      <c r="G581" t="inlineStr">
        <is>
          <t>VÄRNAMO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12306-2023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46231</v>
      </c>
      <c r="F582" t="inlineStr">
        <is>
          <t>JÖNKÖPINGS LÄN</t>
        </is>
      </c>
      <c r="G582" t="inlineStr">
        <is>
          <t>VÄRNAMO</t>
        </is>
      </c>
      <c r="I582" t="n">
        <v>10.4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29162-2023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45105</v>
      </c>
      <c r="E583" s="1" t="n">
        <v>46231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29168-2023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45105</v>
      </c>
      <c r="E584" s="1" t="n">
        <v>46231</v>
      </c>
      <c r="F584" t="inlineStr">
        <is>
          <t>JÖNKÖPINGS LÄN</t>
        </is>
      </c>
      <c r="G584" t="inlineStr">
        <is>
          <t>VÄRNAMO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46863-2023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45200</v>
      </c>
      <c r="E585" s="1" t="n">
        <v>46231</v>
      </c>
      <c r="F585" t="inlineStr">
        <is>
          <t>JÖNKÖPINGS LÄN</t>
        </is>
      </c>
      <c r="G585" t="inlineStr">
        <is>
          <t>VÄRNAMO</t>
        </is>
      </c>
      <c r="H585" t="inlineStr">
        <is>
          <t>Övriga Aktiebolag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45056</v>
      </c>
      <c r="E586" s="1" t="n">
        <v>46231</v>
      </c>
      <c r="F586" t="inlineStr">
        <is>
          <t>JÖNKÖPINGS LÄN</t>
        </is>
      </c>
      <c r="G586" t="inlineStr">
        <is>
          <t>VÄRNAMO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11213-2024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45371</v>
      </c>
      <c r="E587" s="1" t="n">
        <v>46231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49605-2024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45596</v>
      </c>
      <c r="E588" s="1" t="n">
        <v>46231</v>
      </c>
      <c r="F588" t="inlineStr">
        <is>
          <t>JÖNKÖPINGS LÄN</t>
        </is>
      </c>
      <c r="G588" t="inlineStr">
        <is>
          <t>VÄRNAMO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46231</v>
      </c>
      <c r="F589" t="inlineStr">
        <is>
          <t>JÖNKÖPINGS LÄN</t>
        </is>
      </c>
      <c r="G589" t="inlineStr">
        <is>
          <t>VÄRNAMO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54477-2022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44882</v>
      </c>
      <c r="E590" s="1" t="n">
        <v>46231</v>
      </c>
      <c r="F590" t="inlineStr">
        <is>
          <t>JÖNKÖPINGS LÄN</t>
        </is>
      </c>
      <c r="G590" t="inlineStr">
        <is>
          <t>VÄRNAMO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63915-2023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46231</v>
      </c>
      <c r="F591" t="inlineStr">
        <is>
          <t>JÖNKÖPINGS LÄN</t>
        </is>
      </c>
      <c r="G591" t="inlineStr">
        <is>
          <t>VÄRNAMO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31429-2024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45505</v>
      </c>
      <c r="E592" s="1" t="n">
        <v>46231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39639-2023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45167</v>
      </c>
      <c r="E593" s="1" t="n">
        <v>46231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54693-2024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45618</v>
      </c>
      <c r="E594" s="1" t="n">
        <v>46231</v>
      </c>
      <c r="F594" t="inlineStr">
        <is>
          <t>JÖNKÖPINGS LÄN</t>
        </is>
      </c>
      <c r="G594" t="inlineStr">
        <is>
          <t>VÄRNAMO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45713</v>
      </c>
      <c r="E595" s="1" t="n">
        <v>46231</v>
      </c>
      <c r="F595" t="inlineStr">
        <is>
          <t>JÖNKÖPINGS LÄN</t>
        </is>
      </c>
      <c r="G595" t="inlineStr">
        <is>
          <t>VÄRNAMO</t>
        </is>
      </c>
      <c r="H595" t="inlineStr">
        <is>
          <t>Sveaskog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45687</v>
      </c>
      <c r="E596" s="1" t="n">
        <v>46231</v>
      </c>
      <c r="F596" t="inlineStr">
        <is>
          <t>JÖNKÖPINGS LÄN</t>
        </is>
      </c>
      <c r="G596" t="inlineStr">
        <is>
          <t>VÄRNAMO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29382-2024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45483</v>
      </c>
      <c r="E597" s="1" t="n">
        <v>46231</v>
      </c>
      <c r="F597" t="inlineStr">
        <is>
          <t>JÖNKÖPINGS LÄN</t>
        </is>
      </c>
      <c r="G597" t="inlineStr">
        <is>
          <t>VÄRNAMO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62798-2023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45271</v>
      </c>
      <c r="E598" s="1" t="n">
        <v>46231</v>
      </c>
      <c r="F598" t="inlineStr">
        <is>
          <t>JÖNKÖPINGS LÄN</t>
        </is>
      </c>
      <c r="G598" t="inlineStr">
        <is>
          <t>VÄRNAMO</t>
        </is>
      </c>
      <c r="H598" t="inlineStr">
        <is>
          <t>Kommuner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46231</v>
      </c>
      <c r="F599" t="inlineStr">
        <is>
          <t>JÖNKÖPINGS LÄN</t>
        </is>
      </c>
      <c r="G599" t="inlineStr">
        <is>
          <t>VÄRNAMO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45667</v>
      </c>
      <c r="E600" s="1" t="n">
        <v>46231</v>
      </c>
      <c r="F600" t="inlineStr">
        <is>
          <t>JÖNKÖPINGS LÄN</t>
        </is>
      </c>
      <c r="G600" t="inlineStr">
        <is>
          <t>VÄRNAMO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47822-2023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46231</v>
      </c>
      <c r="F601" t="inlineStr">
        <is>
          <t>JÖNKÖPINGS LÄN</t>
        </is>
      </c>
      <c r="G601" t="inlineStr">
        <is>
          <t>VÄRNAMO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49960-2024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46231</v>
      </c>
      <c r="F602" t="inlineStr">
        <is>
          <t>JÖNKÖPINGS LÄN</t>
        </is>
      </c>
      <c r="G602" t="inlineStr">
        <is>
          <t>VÄRNAMO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53131-2023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45229</v>
      </c>
      <c r="E603" s="1" t="n">
        <v>46231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9156-2024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45358</v>
      </c>
      <c r="E604" s="1" t="n">
        <v>46231</v>
      </c>
      <c r="F604" t="inlineStr">
        <is>
          <t>JÖNKÖPINGS LÄN</t>
        </is>
      </c>
      <c r="G604" t="inlineStr">
        <is>
          <t>VÄRNAMO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4076-2025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45684</v>
      </c>
      <c r="E605" s="1" t="n">
        <v>46231</v>
      </c>
      <c r="F605" t="inlineStr">
        <is>
          <t>JÖNKÖPINGS LÄN</t>
        </is>
      </c>
      <c r="G605" t="inlineStr">
        <is>
          <t>VÄRNAMO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11990-2025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46231</v>
      </c>
      <c r="F606" t="inlineStr">
        <is>
          <t>JÖNKÖPINGS LÄN</t>
        </is>
      </c>
      <c r="G606" t="inlineStr">
        <is>
          <t>VÄRNAMO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46231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61345-2023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46231</v>
      </c>
      <c r="F608" t="inlineStr">
        <is>
          <t>JÖNKÖPINGS LÄN</t>
        </is>
      </c>
      <c r="G608" t="inlineStr">
        <is>
          <t>VÄRNAMO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1273-2025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45667</v>
      </c>
      <c r="E609" s="1" t="n">
        <v>46231</v>
      </c>
      <c r="F609" t="inlineStr">
        <is>
          <t>JÖNKÖPINGS LÄN</t>
        </is>
      </c>
      <c r="G609" t="inlineStr">
        <is>
          <t>VÄRNAMO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37899-2023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45160</v>
      </c>
      <c r="E610" s="1" t="n">
        <v>46231</v>
      </c>
      <c r="F610" t="inlineStr">
        <is>
          <t>JÖNKÖPINGS LÄN</t>
        </is>
      </c>
      <c r="G610" t="inlineStr">
        <is>
          <t>VÄRNAMO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45777</v>
      </c>
      <c r="E611" s="1" t="n">
        <v>46231</v>
      </c>
      <c r="F611" t="inlineStr">
        <is>
          <t>JÖNKÖPINGS LÄN</t>
        </is>
      </c>
      <c r="G611" t="inlineStr">
        <is>
          <t>VÄRNAMO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48186-2024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46231</v>
      </c>
      <c r="F612" t="inlineStr">
        <is>
          <t>JÖNKÖPINGS LÄN</t>
        </is>
      </c>
      <c r="G612" t="inlineStr">
        <is>
          <t>VÄRNAMO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45428</v>
      </c>
      <c r="E613" s="1" t="n">
        <v>46231</v>
      </c>
      <c r="F613" t="inlineStr">
        <is>
          <t>JÖNKÖPINGS LÄN</t>
        </is>
      </c>
      <c r="G613" t="inlineStr">
        <is>
          <t>VÄRNAMO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45445</v>
      </c>
      <c r="E614" s="1" t="n">
        <v>46231</v>
      </c>
      <c r="F614" t="inlineStr">
        <is>
          <t>JÖNKÖPINGS LÄN</t>
        </is>
      </c>
      <c r="G614" t="inlineStr">
        <is>
          <t>VÄRNAMO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46231</v>
      </c>
      <c r="F615" t="inlineStr">
        <is>
          <t>JÖNKÖPINGS LÄN</t>
        </is>
      </c>
      <c r="G615" t="inlineStr">
        <is>
          <t>VÄRNAMO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26271-2024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45468</v>
      </c>
      <c r="E616" s="1" t="n">
        <v>46231</v>
      </c>
      <c r="F616" t="inlineStr">
        <is>
          <t>JÖNKÖPINGS LÄN</t>
        </is>
      </c>
      <c r="G616" t="inlineStr">
        <is>
          <t>VÄRNAMO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56413-2023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45243</v>
      </c>
      <c r="E617" s="1" t="n">
        <v>46231</v>
      </c>
      <c r="F617" t="inlineStr">
        <is>
          <t>JÖNKÖPINGS LÄN</t>
        </is>
      </c>
      <c r="G617" t="inlineStr">
        <is>
          <t>VÄRNAMO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45790</v>
      </c>
      <c r="E618" s="1" t="n">
        <v>46231</v>
      </c>
      <c r="F618" t="inlineStr">
        <is>
          <t>JÖNKÖPINGS LÄN</t>
        </is>
      </c>
      <c r="G618" t="inlineStr">
        <is>
          <t>VÄRNAMO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41893-2024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46231</v>
      </c>
      <c r="F619" t="inlineStr">
        <is>
          <t>JÖNKÖPINGS LÄN</t>
        </is>
      </c>
      <c r="G619" t="inlineStr">
        <is>
          <t>VÄRNAMO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45723</v>
      </c>
      <c r="E620" s="1" t="n">
        <v>46231</v>
      </c>
      <c r="F620" t="inlineStr">
        <is>
          <t>JÖNKÖPINGS LÄN</t>
        </is>
      </c>
      <c r="G620" t="inlineStr">
        <is>
          <t>VÄRNAMO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45796</v>
      </c>
      <c r="E621" s="1" t="n">
        <v>46231</v>
      </c>
      <c r="F621" t="inlineStr">
        <is>
          <t>JÖNKÖPINGS LÄN</t>
        </is>
      </c>
      <c r="G621" t="inlineStr">
        <is>
          <t>VÄRNAMO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45792</v>
      </c>
      <c r="E622" s="1" t="n">
        <v>46231</v>
      </c>
      <c r="F622" t="inlineStr">
        <is>
          <t>JÖNKÖPINGS LÄN</t>
        </is>
      </c>
      <c r="G622" t="inlineStr">
        <is>
          <t>VÄRNAMO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46231</v>
      </c>
      <c r="F623" t="inlineStr">
        <is>
          <t>JÖNKÖPINGS LÄN</t>
        </is>
      </c>
      <c r="G623" t="inlineStr">
        <is>
          <t>VÄRNAMO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3709-2021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44379</v>
      </c>
      <c r="E624" s="1" t="n">
        <v>46231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3199-2023</t>
        </is>
      </c>
      <c r="B625" t="inlineStr">
        <is>
          <t>samrådsanmälan</t>
        </is>
      </c>
      <c r="C625" t="inlineStr">
        <is>
          <t>Dikesrensning</t>
        </is>
      </c>
      <c r="D625" s="1" t="n">
        <v>45194</v>
      </c>
      <c r="E625" s="1" t="n">
        <v>46231</v>
      </c>
      <c r="F625" t="inlineStr">
        <is>
          <t>JÖNKÖPINGS LÄN</t>
        </is>
      </c>
      <c r="G625" t="inlineStr">
        <is>
          <t>VÄRNAMO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1595-2024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45427</v>
      </c>
      <c r="E626" s="1" t="n">
        <v>46231</v>
      </c>
      <c r="F626" t="inlineStr">
        <is>
          <t>JÖNKÖPINGS LÄN</t>
        </is>
      </c>
      <c r="G626" t="inlineStr">
        <is>
          <t>VÄRNAMO</t>
        </is>
      </c>
      <c r="I626" t="n">
        <v>51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6462-2021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44449</v>
      </c>
      <c r="E627" s="1" t="n">
        <v>46231</v>
      </c>
      <c r="F627" t="inlineStr">
        <is>
          <t>JÖNKÖPINGS LÄN</t>
        </is>
      </c>
      <c r="G627" t="inlineStr">
        <is>
          <t>VÄRNAMO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1451-2024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45418</v>
      </c>
      <c r="E628" s="1" t="n">
        <v>46231</v>
      </c>
      <c r="F628" t="inlineStr">
        <is>
          <t>JÖNKÖPINGS LÄN</t>
        </is>
      </c>
      <c r="G628" t="inlineStr">
        <is>
          <t>VÄRNAMO</t>
        </is>
      </c>
      <c r="I628" t="n">
        <v>29.6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2455-2023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45117</v>
      </c>
      <c r="E629" s="1" t="n">
        <v>46231</v>
      </c>
      <c r="F629" t="inlineStr">
        <is>
          <t>JÖNKÖPINGS LÄN</t>
        </is>
      </c>
      <c r="G629" t="inlineStr">
        <is>
          <t>VÄRNAMO</t>
        </is>
      </c>
      <c r="H629" t="inlineStr">
        <is>
          <t>Övriga Aktiebolag</t>
        </is>
      </c>
      <c r="I629" t="n">
        <v>49.1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793-2023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44991</v>
      </c>
      <c r="E630" s="1" t="n">
        <v>46231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2484-2023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45119</v>
      </c>
      <c r="E631" s="1" t="n">
        <v>46231</v>
      </c>
      <c r="F631" t="inlineStr">
        <is>
          <t>JÖNKÖPINGS LÄN</t>
        </is>
      </c>
      <c r="G631" t="inlineStr">
        <is>
          <t>VÄRNAMO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1553-2024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45425</v>
      </c>
      <c r="E632" s="1" t="n">
        <v>46231</v>
      </c>
      <c r="F632" t="inlineStr">
        <is>
          <t>JÖNKÖPINGS LÄN</t>
        </is>
      </c>
      <c r="G632" t="inlineStr">
        <is>
          <t>VÄRNAMO</t>
        </is>
      </c>
      <c r="I632" t="n">
        <v>30.6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9360-2021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44519</v>
      </c>
      <c r="E633" s="1" t="n">
        <v>46231</v>
      </c>
      <c r="F633" t="inlineStr">
        <is>
          <t>JÖNKÖPINGS LÄN</t>
        </is>
      </c>
      <c r="G633" t="inlineStr">
        <is>
          <t>VÄRNAMO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1855-2024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45440</v>
      </c>
      <c r="E634" s="1" t="n">
        <v>46231</v>
      </c>
      <c r="F634" t="inlineStr">
        <is>
          <t>JÖNKÖPINGS LÄN</t>
        </is>
      </c>
      <c r="G634" t="inlineStr">
        <is>
          <t>VÄRNAMO</t>
        </is>
      </c>
      <c r="I634" t="n">
        <v>24.8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4295-2024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45583</v>
      </c>
      <c r="E635" s="1" t="n">
        <v>46231</v>
      </c>
      <c r="F635" t="inlineStr">
        <is>
          <t>JÖNKÖPINGS LÄN</t>
        </is>
      </c>
      <c r="G635" t="inlineStr">
        <is>
          <t>VÄRNAMO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9347-2021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44519</v>
      </c>
      <c r="E636" s="1" t="n">
        <v>46231</v>
      </c>
      <c r="F636" t="inlineStr">
        <is>
          <t>JÖNKÖPINGS LÄN</t>
        </is>
      </c>
      <c r="G636" t="inlineStr">
        <is>
          <t>VÄRNAMO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2486-2023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45119</v>
      </c>
      <c r="E637" s="1" t="n">
        <v>46231</v>
      </c>
      <c r="F637" t="inlineStr">
        <is>
          <t>JÖNKÖPINGS LÄN</t>
        </is>
      </c>
      <c r="G637" t="inlineStr">
        <is>
          <t>VÄRNAMO</t>
        </is>
      </c>
      <c r="I637" t="n">
        <v>22.8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2317-2023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45105</v>
      </c>
      <c r="E638" s="1" t="n">
        <v>46231</v>
      </c>
      <c r="F638" t="inlineStr">
        <is>
          <t>JÖNKÖPINGS LÄN</t>
        </is>
      </c>
      <c r="G638" t="inlineStr">
        <is>
          <t>VÄRNAMO</t>
        </is>
      </c>
      <c r="I638" t="n">
        <v>10.8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2512-2023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45122</v>
      </c>
      <c r="E639" s="1" t="n">
        <v>46231</v>
      </c>
      <c r="F639" t="inlineStr">
        <is>
          <t>JÖNKÖPINGS LÄN</t>
        </is>
      </c>
      <c r="G639" t="inlineStr">
        <is>
          <t>VÄRNAMO</t>
        </is>
      </c>
      <c r="I639" t="n">
        <v>63.2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7728-2021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44479</v>
      </c>
      <c r="E640" s="1" t="n">
        <v>46231</v>
      </c>
      <c r="F640" t="inlineStr">
        <is>
          <t>JÖNKÖPINGS LÄN</t>
        </is>
      </c>
      <c r="G640" t="inlineStr">
        <is>
          <t>VÄRNAMO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3557-2025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46010</v>
      </c>
      <c r="E641" s="1" t="n">
        <v>46231</v>
      </c>
      <c r="F641" t="inlineStr">
        <is>
          <t>JÖNKÖPINGS LÄN</t>
        </is>
      </c>
      <c r="G641" t="inlineStr">
        <is>
          <t>VÄRNAMO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46018</v>
      </c>
      <c r="E642" s="1" t="n">
        <v>46231</v>
      </c>
      <c r="F642" t="inlineStr">
        <is>
          <t>JÖNKÖPINGS LÄN</t>
        </is>
      </c>
      <c r="G642" t="inlineStr">
        <is>
          <t>VÄRNAMO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249-2026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46050</v>
      </c>
      <c r="E643" s="1" t="n">
        <v>46231</v>
      </c>
      <c r="F643" t="inlineStr">
        <is>
          <t>JÖNKÖPINGS LÄN</t>
        </is>
      </c>
      <c r="G643" t="inlineStr">
        <is>
          <t>VÄRNAMO</t>
        </is>
      </c>
      <c r="H643" t="inlineStr">
        <is>
          <t>Kommuner</t>
        </is>
      </c>
      <c r="I643" t="n">
        <v>9.800000000000001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239-2026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46052</v>
      </c>
      <c r="E644" s="1" t="n">
        <v>46231</v>
      </c>
      <c r="F644" t="inlineStr">
        <is>
          <t>JÖNKÖPINGS LÄN</t>
        </is>
      </c>
      <c r="G644" t="inlineStr">
        <is>
          <t>VÄRNAMO</t>
        </is>
      </c>
      <c r="H644" t="inlineStr">
        <is>
          <t>Kommuner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2026-07-28T01:46:49Z</dcterms:created>
  <dcterms:modified xmlns:dcterms="http://purl.org/dc/terms/" xmlns:xsi="http://www.w3.org/2001/XMLSchema-instance" xsi:type="dcterms:W3CDTF">2026-07-28T01:46:50Z</dcterms:modified>
</cp:coreProperties>
</file>