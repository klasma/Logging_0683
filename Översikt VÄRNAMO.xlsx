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46234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46234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46234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46234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46234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46234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46234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46234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46234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46234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46234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46234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46234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46234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46234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46234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46234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46234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46234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46234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46234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46234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46234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46234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46234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46234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46234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26198-2023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45091</v>
      </c>
      <c r="E33" s="1" t="n">
        <v>46234</v>
      </c>
      <c r="F33" t="inlineStr">
        <is>
          <t>JÖNKÖPINGS LÄN</t>
        </is>
      </c>
      <c r="G33" t="inlineStr">
        <is>
          <t>VÄRNAMO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26198-2023 artfynd.xlsx", "A 26198-2023")</f>
        <v/>
      </c>
      <c r="X33">
        <f>HYPERLINK("https://klasma.github.io/Logging_0683/kartor/A 26198-2023 karta.png", "A 26198-2023")</f>
        <v/>
      </c>
      <c r="Y33">
        <f>HYPERLINK("https://klasma.github.io/Logging_0683/kartor_geotiff/A 26198-2023 georefererad karta.tif", "A 26198-2023")</f>
        <v/>
      </c>
      <c r="AA33">
        <f>HYPERLINK("https://klasma.github.io/Logging_0683/klagomål/A 26198-2023 FSC-klagomål.docx", "A 26198-2023")</f>
        <v/>
      </c>
      <c r="AB33">
        <f>HYPERLINK("https://klasma.github.io/Logging_0683/klagomålsmail/A 26198-2023 FSC-klagomål mail.docx", "A 26198-2023")</f>
        <v/>
      </c>
      <c r="AC33">
        <f>HYPERLINK("https://klasma.github.io/Logging_0683/tillsyn/A 26198-2023 tillsynsbegäran.docx", "A 26198-2023")</f>
        <v/>
      </c>
      <c r="AD33">
        <f>HYPERLINK("https://klasma.github.io/Logging_0683/tillsynsmail/A 26198-2023 tillsynsbegäran mail.docx", "A 26198-2023")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46234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23920-2026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46234</v>
      </c>
      <c r="F35" t="inlineStr">
        <is>
          <t>JÖNKÖPINGS LÄN</t>
        </is>
      </c>
      <c r="G35" t="inlineStr">
        <is>
          <t>VÄRNAMO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HYPERLINK("https://klasma.github.io/Logging_0683/artfynd/A 23920-2026 artfynd.xlsx", "A 23920-2026")</f>
        <v/>
      </c>
      <c r="X35">
        <f>HYPERLINK("https://klasma.github.io/Logging_0683/kartor/A 23920-2026 karta.png", "A 23920-2026")</f>
        <v/>
      </c>
      <c r="Y35">
        <f>HYPERLINK("https://klasma.github.io/Logging_0683/kartor_geotiff/A 23920-2026 georefererad karta.tif", "A 23920-2026")</f>
        <v/>
      </c>
      <c r="AA35">
        <f>HYPERLINK("https://klasma.github.io/Logging_0683/klagomål/A 23920-2026 FSC-klagomål.docx", "A 23920-2026")</f>
        <v/>
      </c>
      <c r="AB35">
        <f>HYPERLINK("https://klasma.github.io/Logging_0683/klagomålsmail/A 23920-2026 FSC-klagomål mail.docx", "A 23920-2026")</f>
        <v/>
      </c>
      <c r="AC35">
        <f>HYPERLINK("https://klasma.github.io/Logging_0683/tillsyn/A 23920-2026 tillsynsbegäran.docx", "A 23920-2026")</f>
        <v/>
      </c>
      <c r="AD35">
        <f>HYPERLINK("https://klasma.github.io/Logging_0683/tillsynsmail/A 23920-2026 tillsynsbegäran mail.docx", "A 23920-2026")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46234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27295-2026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46234</v>
      </c>
      <c r="F37" t="inlineStr">
        <is>
          <t>JÖNKÖPINGS LÄN</t>
        </is>
      </c>
      <c r="G37" t="inlineStr">
        <is>
          <t>VÄRNAMO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HYPERLINK("https://klasma.github.io/Logging_0683/artfynd/A 27295-2026 artfynd.xlsx", "A 27295-2026")</f>
        <v/>
      </c>
      <c r="X37">
        <f>HYPERLINK("https://klasma.github.io/Logging_0683/kartor/A 27295-2026 karta.png", "A 27295-2026")</f>
        <v/>
      </c>
      <c r="Y37">
        <f>HYPERLINK("https://klasma.github.io/Logging_0683/kartor_geotiff/A 27295-2026 georefererad karta.tif", "A 27295-2026")</f>
        <v/>
      </c>
      <c r="AA37">
        <f>HYPERLINK("https://klasma.github.io/Logging_0683/klagomål/A 27295-2026 FSC-klagomål.docx", "A 27295-2026")</f>
        <v/>
      </c>
      <c r="AB37">
        <f>HYPERLINK("https://klasma.github.io/Logging_0683/klagomålsmail/A 27295-2026 FSC-klagomål mail.docx", "A 27295-2026")</f>
        <v/>
      </c>
      <c r="AC37">
        <f>HYPERLINK("https://klasma.github.io/Logging_0683/tillsyn/A 27295-2026 tillsynsbegäran.docx", "A 27295-2026")</f>
        <v/>
      </c>
      <c r="AD37">
        <f>HYPERLINK("https://klasma.github.io/Logging_0683/tillsynsmail/A 27295-2026 tillsynsbegäran mail.docx", "A 27295-2026")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46234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46234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46234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46234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46234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46234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46234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46234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46234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46234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46234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46234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46234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46234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46234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46234</v>
      </c>
      <c r="F53" t="inlineStr">
        <is>
          <t>JÖNKÖPINGS LÄN</t>
        </is>
      </c>
      <c r="G53" t="inlineStr">
        <is>
          <t>VÄRNAMO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40968-2021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46234</v>
      </c>
      <c r="F54" t="inlineStr">
        <is>
          <t>JÖNKÖPINGS LÄN</t>
        </is>
      </c>
      <c r="G54" t="inlineStr">
        <is>
          <t>VÄRNAMO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46234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46234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46234</v>
      </c>
      <c r="F57" t="inlineStr">
        <is>
          <t>JÖNKÖPINGS LÄN</t>
        </is>
      </c>
      <c r="G57" t="inlineStr">
        <is>
          <t>VÄRNAMO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46234</v>
      </c>
      <c r="F58" t="inlineStr">
        <is>
          <t>JÖNKÖPINGS LÄN</t>
        </is>
      </c>
      <c r="G58" t="inlineStr">
        <is>
          <t>VÄRNAMO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46234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46234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46234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46234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46234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46234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46234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46234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46234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46234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46234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46234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46234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46234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46234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46234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46234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46234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46234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46234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46234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46234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46234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46234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46234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46234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46234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46234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46234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46234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44440</v>
      </c>
      <c r="E89" s="1" t="n">
        <v>46234</v>
      </c>
      <c r="F89" t="inlineStr">
        <is>
          <t>JÖNKÖPINGS LÄN</t>
        </is>
      </c>
      <c r="G89" t="inlineStr">
        <is>
          <t>VÄRNAMO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46234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46234</v>
      </c>
      <c r="F91" t="inlineStr">
        <is>
          <t>JÖNKÖPINGS LÄN</t>
        </is>
      </c>
      <c r="G91" t="inlineStr">
        <is>
          <t>VÄRNAMO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46234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46234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46234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46234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46234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46234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46234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46234</v>
      </c>
      <c r="F99" t="inlineStr">
        <is>
          <t>JÖNKÖPINGS LÄN</t>
        </is>
      </c>
      <c r="G99" t="inlineStr">
        <is>
          <t>VÄRNAMO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46234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46234</v>
      </c>
      <c r="F101" t="inlineStr">
        <is>
          <t>JÖNKÖPINGS LÄN</t>
        </is>
      </c>
      <c r="G101" t="inlineStr">
        <is>
          <t>VÄRNAMO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46234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46234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44706</v>
      </c>
      <c r="E104" s="1" t="n">
        <v>46234</v>
      </c>
      <c r="F104" t="inlineStr">
        <is>
          <t>JÖNKÖPINGS LÄN</t>
        </is>
      </c>
      <c r="G104" t="inlineStr">
        <is>
          <t>VÄRNAMO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46234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46234</v>
      </c>
      <c r="F106" t="inlineStr">
        <is>
          <t>JÖNKÖPINGS LÄN</t>
        </is>
      </c>
      <c r="G106" t="inlineStr">
        <is>
          <t>VÄRNAMO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46234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46234</v>
      </c>
      <c r="F108" t="inlineStr">
        <is>
          <t>JÖNKÖPINGS LÄN</t>
        </is>
      </c>
      <c r="G108" t="inlineStr">
        <is>
          <t>VÄRNAMO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46234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46234</v>
      </c>
      <c r="F110" t="inlineStr">
        <is>
          <t>JÖNKÖPINGS LÄN</t>
        </is>
      </c>
      <c r="G110" t="inlineStr">
        <is>
          <t>VÄRNAMO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46234</v>
      </c>
      <c r="F111" t="inlineStr">
        <is>
          <t>JÖNKÖPINGS LÄN</t>
        </is>
      </c>
      <c r="G111" t="inlineStr">
        <is>
          <t>VÄRNAMO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46234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24702-2022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44727</v>
      </c>
      <c r="E113" s="1" t="n">
        <v>46234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46234</v>
      </c>
      <c r="F114" t="inlineStr">
        <is>
          <t>JÖNKÖPINGS LÄN</t>
        </is>
      </c>
      <c r="G114" t="inlineStr">
        <is>
          <t>VÄRNAMO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45036</v>
      </c>
      <c r="E115" s="1" t="n">
        <v>46234</v>
      </c>
      <c r="F115" t="inlineStr">
        <is>
          <t>JÖNKÖPINGS LÄN</t>
        </is>
      </c>
      <c r="G115" t="inlineStr">
        <is>
          <t>VÄRNAMO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46234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46234</v>
      </c>
      <c r="F117" t="inlineStr">
        <is>
          <t>JÖNKÖPINGS LÄN</t>
        </is>
      </c>
      <c r="G117" t="inlineStr">
        <is>
          <t>VÄRNAMO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46234</v>
      </c>
      <c r="F118" t="inlineStr">
        <is>
          <t>JÖNKÖPINGS LÄN</t>
        </is>
      </c>
      <c r="G118" t="inlineStr">
        <is>
          <t>VÄRNAMO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46234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46234</v>
      </c>
      <c r="F120" t="inlineStr">
        <is>
          <t>JÖNKÖPINGS LÄN</t>
        </is>
      </c>
      <c r="G120" t="inlineStr">
        <is>
          <t>VÄRNAMO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45777</v>
      </c>
      <c r="E121" s="1" t="n">
        <v>46234</v>
      </c>
      <c r="F121" t="inlineStr">
        <is>
          <t>JÖNKÖPINGS LÄN</t>
        </is>
      </c>
      <c r="G121" t="inlineStr">
        <is>
          <t>VÄRNAMO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46234</v>
      </c>
      <c r="F122" t="inlineStr">
        <is>
          <t>JÖNKÖPINGS LÄN</t>
        </is>
      </c>
      <c r="G122" t="inlineStr">
        <is>
          <t>VÄRNAMO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46234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46234</v>
      </c>
      <c r="F124" t="inlineStr">
        <is>
          <t>JÖNKÖPINGS LÄN</t>
        </is>
      </c>
      <c r="G124" t="inlineStr">
        <is>
          <t>VÄRNAMO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45512</v>
      </c>
      <c r="E125" s="1" t="n">
        <v>46234</v>
      </c>
      <c r="F125" t="inlineStr">
        <is>
          <t>JÖNKÖPINGS LÄN</t>
        </is>
      </c>
      <c r="G125" t="inlineStr">
        <is>
          <t>VÄRNAMO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45589</v>
      </c>
      <c r="E126" s="1" t="n">
        <v>46234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46234</v>
      </c>
      <c r="F127" t="inlineStr">
        <is>
          <t>JÖNKÖPINGS LÄN</t>
        </is>
      </c>
      <c r="G127" t="inlineStr">
        <is>
          <t>VÄRNAMO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45642</v>
      </c>
      <c r="E128" s="1" t="n">
        <v>46234</v>
      </c>
      <c r="F128" t="inlineStr">
        <is>
          <t>JÖNKÖPINGS LÄN</t>
        </is>
      </c>
      <c r="G128" t="inlineStr">
        <is>
          <t>VÄRNAMO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45853</v>
      </c>
      <c r="E129" s="1" t="n">
        <v>46234</v>
      </c>
      <c r="F129" t="inlineStr">
        <is>
          <t>JÖNKÖPINGS LÄN</t>
        </is>
      </c>
      <c r="G129" t="inlineStr">
        <is>
          <t>VÄRNAMO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46234</v>
      </c>
      <c r="F130" t="inlineStr">
        <is>
          <t>JÖNKÖPINGS LÄN</t>
        </is>
      </c>
      <c r="G130" t="inlineStr">
        <is>
          <t>VÄRNAMO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45428</v>
      </c>
      <c r="E131" s="1" t="n">
        <v>46234</v>
      </c>
      <c r="F131" t="inlineStr">
        <is>
          <t>JÖNKÖPINGS LÄN</t>
        </is>
      </c>
      <c r="G131" t="inlineStr">
        <is>
          <t>VÄRNAMO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45547</v>
      </c>
      <c r="E132" s="1" t="n">
        <v>46234</v>
      </c>
      <c r="F132" t="inlineStr">
        <is>
          <t>JÖNKÖPINGS LÄN</t>
        </is>
      </c>
      <c r="G132" t="inlineStr">
        <is>
          <t>VÄRNAMO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44616</v>
      </c>
      <c r="E133" s="1" t="n">
        <v>46234</v>
      </c>
      <c r="F133" t="inlineStr">
        <is>
          <t>JÖNKÖPINGS LÄN</t>
        </is>
      </c>
      <c r="G133" t="inlineStr">
        <is>
          <t>VÄRNAMO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46234</v>
      </c>
      <c r="F134" t="inlineStr">
        <is>
          <t>JÖNKÖPINGS LÄN</t>
        </is>
      </c>
      <c r="G134" t="inlineStr">
        <is>
          <t>VÄRNAMO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46234</v>
      </c>
      <c r="F135" t="inlineStr">
        <is>
          <t>JÖNKÖPINGS LÄN</t>
        </is>
      </c>
      <c r="G135" t="inlineStr">
        <is>
          <t>VÄRNAMO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51463-2022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44869</v>
      </c>
      <c r="E136" s="1" t="n">
        <v>46234</v>
      </c>
      <c r="F136" t="inlineStr">
        <is>
          <t>JÖNKÖPINGS LÄN</t>
        </is>
      </c>
      <c r="G136" t="inlineStr">
        <is>
          <t>VÄRNAMO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45394</v>
      </c>
      <c r="E137" s="1" t="n">
        <v>46234</v>
      </c>
      <c r="F137" t="inlineStr">
        <is>
          <t>JÖNKÖPINGS LÄN</t>
        </is>
      </c>
      <c r="G137" t="inlineStr">
        <is>
          <t>VÄRNAMO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46234</v>
      </c>
      <c r="F138" t="inlineStr">
        <is>
          <t>JÖNKÖPINGS LÄN</t>
        </is>
      </c>
      <c r="G138" t="inlineStr">
        <is>
          <t>VÄRNAMO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45238</v>
      </c>
      <c r="E139" s="1" t="n">
        <v>46234</v>
      </c>
      <c r="F139" t="inlineStr">
        <is>
          <t>JÖNKÖPINGS LÄN</t>
        </is>
      </c>
      <c r="G139" t="inlineStr">
        <is>
          <t>VÄRNAMO</t>
        </is>
      </c>
      <c r="H139" t="inlineStr">
        <is>
          <t>Sveaskog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46234</v>
      </c>
      <c r="F140" t="inlineStr">
        <is>
          <t>JÖNKÖPINGS LÄN</t>
        </is>
      </c>
      <c r="G140" t="inlineStr">
        <is>
          <t>VÄRNAMO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45142</v>
      </c>
      <c r="E141" s="1" t="n">
        <v>46234</v>
      </c>
      <c r="F141" t="inlineStr">
        <is>
          <t>JÖNKÖPINGS LÄN</t>
        </is>
      </c>
      <c r="G141" t="inlineStr">
        <is>
          <t>VÄRNAMO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46234</v>
      </c>
      <c r="F142" t="inlineStr">
        <is>
          <t>JÖNKÖPINGS LÄN</t>
        </is>
      </c>
      <c r="G142" t="inlineStr">
        <is>
          <t>VÄRNAMO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45445</v>
      </c>
      <c r="E143" s="1" t="n">
        <v>46234</v>
      </c>
      <c r="F143" t="inlineStr">
        <is>
          <t>JÖNKÖPINGS LÄN</t>
        </is>
      </c>
      <c r="G143" t="inlineStr">
        <is>
          <t>VÄRNAMO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46234</v>
      </c>
      <c r="F144" t="inlineStr">
        <is>
          <t>JÖNKÖPINGS LÄN</t>
        </is>
      </c>
      <c r="G144" t="inlineStr">
        <is>
          <t>VÄRNAMO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46234</v>
      </c>
      <c r="F145" t="inlineStr">
        <is>
          <t>JÖNKÖPINGS LÄN</t>
        </is>
      </c>
      <c r="G145" t="inlineStr">
        <is>
          <t>VÄRNAMO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46234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46234</v>
      </c>
      <c r="F147" t="inlineStr">
        <is>
          <t>JÖNKÖPINGS LÄN</t>
        </is>
      </c>
      <c r="G147" t="inlineStr">
        <is>
          <t>VÄRNAMO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46234</v>
      </c>
      <c r="F148" t="inlineStr">
        <is>
          <t>JÖNKÖPINGS LÄN</t>
        </is>
      </c>
      <c r="G148" t="inlineStr">
        <is>
          <t>VÄRNAMO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46234</v>
      </c>
      <c r="F149" t="inlineStr">
        <is>
          <t>JÖNKÖPINGS LÄN</t>
        </is>
      </c>
      <c r="G149" t="inlineStr">
        <is>
          <t>VÄRNAMO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46234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45723</v>
      </c>
      <c r="E151" s="1" t="n">
        <v>46234</v>
      </c>
      <c r="F151" t="inlineStr">
        <is>
          <t>JÖNKÖPINGS LÄN</t>
        </is>
      </c>
      <c r="G151" t="inlineStr">
        <is>
          <t>VÄRNAMO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46234</v>
      </c>
      <c r="F152" t="inlineStr">
        <is>
          <t>JÖNKÖPINGS LÄN</t>
        </is>
      </c>
      <c r="G152" t="inlineStr">
        <is>
          <t>VÄRNAMO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45019</v>
      </c>
      <c r="E153" s="1" t="n">
        <v>46234</v>
      </c>
      <c r="F153" t="inlineStr">
        <is>
          <t>JÖNKÖPINGS LÄN</t>
        </is>
      </c>
      <c r="G153" t="inlineStr">
        <is>
          <t>VÄRNAMO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46234</v>
      </c>
      <c r="F154" t="inlineStr">
        <is>
          <t>JÖNKÖPINGS LÄN</t>
        </is>
      </c>
      <c r="G154" t="inlineStr">
        <is>
          <t>VÄRNAMO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45315</v>
      </c>
      <c r="E155" s="1" t="n">
        <v>46234</v>
      </c>
      <c r="F155" t="inlineStr">
        <is>
          <t>JÖNKÖPINGS LÄN</t>
        </is>
      </c>
      <c r="G155" t="inlineStr">
        <is>
          <t>VÄRNAMO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46234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46234</v>
      </c>
      <c r="F157" t="inlineStr">
        <is>
          <t>JÖNKÖPINGS LÄN</t>
        </is>
      </c>
      <c r="G157" t="inlineStr">
        <is>
          <t>VÄRNAMO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46234</v>
      </c>
      <c r="F158" t="inlineStr">
        <is>
          <t>JÖNKÖPINGS LÄN</t>
        </is>
      </c>
      <c r="G158" t="inlineStr">
        <is>
          <t>VÄRNAMO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46234</v>
      </c>
      <c r="F159" t="inlineStr">
        <is>
          <t>JÖNKÖPINGS LÄN</t>
        </is>
      </c>
      <c r="G159" t="inlineStr">
        <is>
          <t>VÄRNAMO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46234</v>
      </c>
      <c r="F160" t="inlineStr">
        <is>
          <t>JÖNKÖPINGS LÄN</t>
        </is>
      </c>
      <c r="G160" t="inlineStr">
        <is>
          <t>VÄRNAMO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46234</v>
      </c>
      <c r="F161" t="inlineStr">
        <is>
          <t>JÖNKÖPINGS LÄN</t>
        </is>
      </c>
      <c r="G161" t="inlineStr">
        <is>
          <t>VÄRNAMO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46234</v>
      </c>
      <c r="F162" t="inlineStr">
        <is>
          <t>JÖNKÖPINGS LÄN</t>
        </is>
      </c>
      <c r="G162" t="inlineStr">
        <is>
          <t>VÄRNAMO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46234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45267</v>
      </c>
      <c r="E164" s="1" t="n">
        <v>46234</v>
      </c>
      <c r="F164" t="inlineStr">
        <is>
          <t>JÖNKÖPINGS LÄN</t>
        </is>
      </c>
      <c r="G164" t="inlineStr">
        <is>
          <t>VÄRNAMO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46234</v>
      </c>
      <c r="F165" t="inlineStr">
        <is>
          <t>JÖNKÖPINGS LÄN</t>
        </is>
      </c>
      <c r="G165" t="inlineStr">
        <is>
          <t>VÄRNAMO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44943</v>
      </c>
      <c r="E166" s="1" t="n">
        <v>46234</v>
      </c>
      <c r="F166" t="inlineStr">
        <is>
          <t>JÖNKÖPINGS LÄN</t>
        </is>
      </c>
      <c r="G166" t="inlineStr">
        <is>
          <t>VÄRNAMO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46234</v>
      </c>
      <c r="F167" t="inlineStr">
        <is>
          <t>JÖNKÖPINGS LÄN</t>
        </is>
      </c>
      <c r="G167" t="inlineStr">
        <is>
          <t>VÄRNAMO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46234</v>
      </c>
      <c r="F168" t="inlineStr">
        <is>
          <t>JÖNKÖPINGS LÄN</t>
        </is>
      </c>
      <c r="G168" t="inlineStr">
        <is>
          <t>VÄRNAMO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46234</v>
      </c>
      <c r="F169" t="inlineStr">
        <is>
          <t>JÖNKÖPINGS LÄN</t>
        </is>
      </c>
      <c r="G169" t="inlineStr">
        <is>
          <t>VÄRNAMO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44936</v>
      </c>
      <c r="E170" s="1" t="n">
        <v>46234</v>
      </c>
      <c r="F170" t="inlineStr">
        <is>
          <t>JÖNKÖPINGS LÄN</t>
        </is>
      </c>
      <c r="G170" t="inlineStr">
        <is>
          <t>VÄRNAMO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46234</v>
      </c>
      <c r="F171" t="inlineStr">
        <is>
          <t>JÖNKÖPINGS LÄN</t>
        </is>
      </c>
      <c r="G171" t="inlineStr">
        <is>
          <t>VÄRNAMO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45735</v>
      </c>
      <c r="E172" s="1" t="n">
        <v>46234</v>
      </c>
      <c r="F172" t="inlineStr">
        <is>
          <t>JÖNKÖPINGS LÄN</t>
        </is>
      </c>
      <c r="G172" t="inlineStr">
        <is>
          <t>VÄRNAMO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46234</v>
      </c>
      <c r="F173" t="inlineStr">
        <is>
          <t>JÖNKÖPINGS LÄN</t>
        </is>
      </c>
      <c r="G173" t="inlineStr">
        <is>
          <t>VÄRNAMO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46234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46234</v>
      </c>
      <c r="F175" t="inlineStr">
        <is>
          <t>JÖNKÖPINGS LÄN</t>
        </is>
      </c>
      <c r="G175" t="inlineStr">
        <is>
          <t>VÄRNAMO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46234</v>
      </c>
      <c r="F176" t="inlineStr">
        <is>
          <t>JÖNKÖPINGS LÄN</t>
        </is>
      </c>
      <c r="G176" t="inlineStr">
        <is>
          <t>VÄRNAMO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46234</v>
      </c>
      <c r="F177" t="inlineStr">
        <is>
          <t>JÖNKÖPINGS LÄN</t>
        </is>
      </c>
      <c r="G177" t="inlineStr">
        <is>
          <t>VÄRNAMO</t>
        </is>
      </c>
      <c r="H177" t="inlineStr">
        <is>
          <t>Övriga Aktiebolag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46234</v>
      </c>
      <c r="F178" t="inlineStr">
        <is>
          <t>JÖNKÖPINGS LÄN</t>
        </is>
      </c>
      <c r="G178" t="inlineStr">
        <is>
          <t>VÄRNAMO</t>
        </is>
      </c>
      <c r="H178" t="inlineStr">
        <is>
          <t>Övriga Aktiebolag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29382-2024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45483</v>
      </c>
      <c r="E179" s="1" t="n">
        <v>46234</v>
      </c>
      <c r="F179" t="inlineStr">
        <is>
          <t>JÖNKÖPINGS LÄN</t>
        </is>
      </c>
      <c r="G179" t="inlineStr">
        <is>
          <t>VÄRNAMO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46234</v>
      </c>
      <c r="F180" t="inlineStr">
        <is>
          <t>JÖNKÖPINGS LÄN</t>
        </is>
      </c>
      <c r="G180" t="inlineStr">
        <is>
          <t>VÄRNAMO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46234</v>
      </c>
      <c r="F181" t="inlineStr">
        <is>
          <t>JÖNKÖPINGS LÄN</t>
        </is>
      </c>
      <c r="G181" t="inlineStr">
        <is>
          <t>VÄRNAMO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45919</v>
      </c>
      <c r="E182" s="1" t="n">
        <v>46234</v>
      </c>
      <c r="F182" t="inlineStr">
        <is>
          <t>JÖNKÖPINGS LÄN</t>
        </is>
      </c>
      <c r="G182" t="inlineStr">
        <is>
          <t>VÄRNAMO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46234</v>
      </c>
      <c r="F183" t="inlineStr">
        <is>
          <t>JÖNKÖPINGS LÄN</t>
        </is>
      </c>
      <c r="G183" t="inlineStr">
        <is>
          <t>VÄRNAMO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46234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46234</v>
      </c>
      <c r="F185" t="inlineStr">
        <is>
          <t>JÖNKÖPINGS LÄN</t>
        </is>
      </c>
      <c r="G185" t="inlineStr">
        <is>
          <t>VÄRNAMO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46234</v>
      </c>
      <c r="F186" t="inlineStr">
        <is>
          <t>JÖNKÖPINGS LÄN</t>
        </is>
      </c>
      <c r="G186" t="inlineStr">
        <is>
          <t>VÄRNAMO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46234</v>
      </c>
      <c r="F187" t="inlineStr">
        <is>
          <t>JÖNKÖPINGS LÄN</t>
        </is>
      </c>
      <c r="G187" t="inlineStr">
        <is>
          <t>VÄRNAMO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44851</v>
      </c>
      <c r="E188" s="1" t="n">
        <v>46234</v>
      </c>
      <c r="F188" t="inlineStr">
        <is>
          <t>JÖNKÖPINGS LÄN</t>
        </is>
      </c>
      <c r="G188" t="inlineStr">
        <is>
          <t>VÄRNAMO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46234</v>
      </c>
      <c r="F189" t="inlineStr">
        <is>
          <t>JÖNKÖPINGS LÄN</t>
        </is>
      </c>
      <c r="G189" t="inlineStr">
        <is>
          <t>VÄRNAMO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45328</v>
      </c>
      <c r="E190" s="1" t="n">
        <v>46234</v>
      </c>
      <c r="F190" t="inlineStr">
        <is>
          <t>JÖNKÖPINGS LÄN</t>
        </is>
      </c>
      <c r="G190" t="inlineStr">
        <is>
          <t>VÄRNAMO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46234</v>
      </c>
      <c r="F191" t="inlineStr">
        <is>
          <t>JÖNKÖPINGS LÄN</t>
        </is>
      </c>
      <c r="G191" t="inlineStr">
        <is>
          <t>VÄRNAMO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46234</v>
      </c>
      <c r="F192" t="inlineStr">
        <is>
          <t>JÖNKÖPINGS LÄN</t>
        </is>
      </c>
      <c r="G192" t="inlineStr">
        <is>
          <t>VÄRNAMO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46234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46234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46234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46234</v>
      </c>
      <c r="F196" t="inlineStr">
        <is>
          <t>JÖNKÖPINGS LÄN</t>
        </is>
      </c>
      <c r="G196" t="inlineStr">
        <is>
          <t>VÄRNAMO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46234</v>
      </c>
      <c r="F197" t="inlineStr">
        <is>
          <t>JÖNKÖPINGS LÄN</t>
        </is>
      </c>
      <c r="G197" t="inlineStr">
        <is>
          <t>VÄRNAMO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46234</v>
      </c>
      <c r="F198" t="inlineStr">
        <is>
          <t>JÖNKÖPINGS LÄN</t>
        </is>
      </c>
      <c r="G198" t="inlineStr">
        <is>
          <t>VÄRNAMO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45200</v>
      </c>
      <c r="E199" s="1" t="n">
        <v>46234</v>
      </c>
      <c r="F199" t="inlineStr">
        <is>
          <t>JÖNKÖPINGS LÄN</t>
        </is>
      </c>
      <c r="G199" t="inlineStr">
        <is>
          <t>VÄRNAMO</t>
        </is>
      </c>
      <c r="H199" t="inlineStr">
        <is>
          <t>Övriga Aktiebolag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46234</v>
      </c>
      <c r="F200" t="inlineStr">
        <is>
          <t>JÖNKÖPINGS LÄN</t>
        </is>
      </c>
      <c r="G200" t="inlineStr">
        <is>
          <t>VÄRNAMO</t>
        </is>
      </c>
      <c r="I200" t="n">
        <v>12.6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45308</v>
      </c>
      <c r="E201" s="1" t="n">
        <v>46234</v>
      </c>
      <c r="F201" t="inlineStr">
        <is>
          <t>JÖNKÖPINGS LÄN</t>
        </is>
      </c>
      <c r="G201" t="inlineStr">
        <is>
          <t>VÄRNAMO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46234</v>
      </c>
      <c r="F202" t="inlineStr">
        <is>
          <t>JÖNKÖPINGS LÄN</t>
        </is>
      </c>
      <c r="G202" t="inlineStr">
        <is>
          <t>VÄRNAMO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43858-2023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46234</v>
      </c>
      <c r="F203" t="inlineStr">
        <is>
          <t>JÖNKÖPINGS LÄN</t>
        </is>
      </c>
      <c r="G203" t="inlineStr">
        <is>
          <t>VÄRNAMO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53473-2025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45959</v>
      </c>
      <c r="E204" s="1" t="n">
        <v>46234</v>
      </c>
      <c r="F204" t="inlineStr">
        <is>
          <t>JÖNKÖPINGS LÄN</t>
        </is>
      </c>
      <c r="G204" t="inlineStr">
        <is>
          <t>VÄRNAMO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46234</v>
      </c>
      <c r="F205" t="inlineStr">
        <is>
          <t>JÖNKÖPINGS LÄN</t>
        </is>
      </c>
      <c r="G205" t="inlineStr">
        <is>
          <t>VÄRNAMO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46234</v>
      </c>
      <c r="F206" t="inlineStr">
        <is>
          <t>JÖNKÖPINGS LÄN</t>
        </is>
      </c>
      <c r="G206" t="inlineStr">
        <is>
          <t>VÄRNAMO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46234</v>
      </c>
      <c r="F207" t="inlineStr">
        <is>
          <t>JÖNKÖPINGS LÄN</t>
        </is>
      </c>
      <c r="G207" t="inlineStr">
        <is>
          <t>VÄRNAMO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46234</v>
      </c>
      <c r="F208" t="inlineStr">
        <is>
          <t>JÖNKÖPINGS LÄN</t>
        </is>
      </c>
      <c r="G208" t="inlineStr">
        <is>
          <t>VÄRNAMO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45208</v>
      </c>
      <c r="E209" s="1" t="n">
        <v>46234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46234</v>
      </c>
      <c r="F210" t="inlineStr">
        <is>
          <t>JÖNKÖPINGS LÄN</t>
        </is>
      </c>
      <c r="G210" t="inlineStr">
        <is>
          <t>VÄRNAMO</t>
        </is>
      </c>
      <c r="H210" t="inlineStr">
        <is>
          <t>Kyrkan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46234</v>
      </c>
      <c r="F211" t="inlineStr">
        <is>
          <t>JÖNKÖPINGS LÄN</t>
        </is>
      </c>
      <c r="G211" t="inlineStr">
        <is>
          <t>VÄRNAMO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46234</v>
      </c>
      <c r="F212" t="inlineStr">
        <is>
          <t>JÖNKÖPINGS LÄN</t>
        </is>
      </c>
      <c r="G212" t="inlineStr">
        <is>
          <t>VÄRNAMO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46234</v>
      </c>
      <c r="F213" t="inlineStr">
        <is>
          <t>JÖNKÖPINGS LÄN</t>
        </is>
      </c>
      <c r="G213" t="inlineStr">
        <is>
          <t>VÄRNAMO</t>
        </is>
      </c>
      <c r="H213" t="inlineStr">
        <is>
          <t>Sveaskog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46234</v>
      </c>
      <c r="F214" t="inlineStr">
        <is>
          <t>JÖNKÖPINGS LÄN</t>
        </is>
      </c>
      <c r="G214" t="inlineStr">
        <is>
          <t>VÄRNAMO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46234</v>
      </c>
      <c r="F215" t="inlineStr">
        <is>
          <t>JÖNKÖPINGS LÄN</t>
        </is>
      </c>
      <c r="G215" t="inlineStr">
        <is>
          <t>VÄRNAMO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44971</v>
      </c>
      <c r="E216" s="1" t="n">
        <v>46234</v>
      </c>
      <c r="F216" t="inlineStr">
        <is>
          <t>JÖNKÖPINGS LÄN</t>
        </is>
      </c>
      <c r="G216" t="inlineStr">
        <is>
          <t>VÄRNAMO</t>
        </is>
      </c>
      <c r="H216" t="inlineStr">
        <is>
          <t>Kommuner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46234</v>
      </c>
      <c r="F217" t="inlineStr">
        <is>
          <t>JÖNKÖPINGS LÄN</t>
        </is>
      </c>
      <c r="G217" t="inlineStr">
        <is>
          <t>VÄRNAMO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46234</v>
      </c>
      <c r="F218" t="inlineStr">
        <is>
          <t>JÖNKÖPINGS LÄN</t>
        </is>
      </c>
      <c r="G218" t="inlineStr">
        <is>
          <t>VÄRNAMO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45957</v>
      </c>
      <c r="E219" s="1" t="n">
        <v>46234</v>
      </c>
      <c r="F219" t="inlineStr">
        <is>
          <t>JÖNKÖPINGS LÄN</t>
        </is>
      </c>
      <c r="G219" t="inlineStr">
        <is>
          <t>VÄRNAMO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46234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44678</v>
      </c>
      <c r="E221" s="1" t="n">
        <v>46234</v>
      </c>
      <c r="F221" t="inlineStr">
        <is>
          <t>JÖNKÖPINGS LÄN</t>
        </is>
      </c>
      <c r="G221" t="inlineStr">
        <is>
          <t>VÄRNAMO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46234</v>
      </c>
      <c r="F222" t="inlineStr">
        <is>
          <t>JÖNKÖPINGS LÄN</t>
        </is>
      </c>
      <c r="G222" t="inlineStr">
        <is>
          <t>VÄRNAMO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31524-2025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46234</v>
      </c>
      <c r="F223" t="inlineStr">
        <is>
          <t>JÖNKÖPINGS LÄN</t>
        </is>
      </c>
      <c r="G223" t="inlineStr">
        <is>
          <t>VÄRNAMO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46234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45659</v>
      </c>
      <c r="E225" s="1" t="n">
        <v>46234</v>
      </c>
      <c r="F225" t="inlineStr">
        <is>
          <t>JÖNKÖPINGS LÄN</t>
        </is>
      </c>
      <c r="G225" t="inlineStr">
        <is>
          <t>VÄRNAMO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46234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46234</v>
      </c>
      <c r="F227" t="inlineStr">
        <is>
          <t>JÖNKÖPINGS LÄN</t>
        </is>
      </c>
      <c r="G227" t="inlineStr">
        <is>
          <t>VÄRNAMO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46234</v>
      </c>
      <c r="F228" t="inlineStr">
        <is>
          <t>JÖNKÖPINGS LÄN</t>
        </is>
      </c>
      <c r="G228" t="inlineStr">
        <is>
          <t>VÄRNAMO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46234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46234</v>
      </c>
      <c r="F230" t="inlineStr">
        <is>
          <t>JÖNKÖPINGS LÄN</t>
        </is>
      </c>
      <c r="G230" t="inlineStr">
        <is>
          <t>VÄRNAMO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46234</v>
      </c>
      <c r="F231" t="inlineStr">
        <is>
          <t>JÖNKÖPINGS LÄN</t>
        </is>
      </c>
      <c r="G231" t="inlineStr">
        <is>
          <t>VÄRNAMO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46234</v>
      </c>
      <c r="F232" t="inlineStr">
        <is>
          <t>JÖNKÖPINGS LÄN</t>
        </is>
      </c>
      <c r="G232" t="inlineStr">
        <is>
          <t>VÄRNAMO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46234</v>
      </c>
      <c r="F233" t="inlineStr">
        <is>
          <t>JÖNKÖPINGS LÄN</t>
        </is>
      </c>
      <c r="G233" t="inlineStr">
        <is>
          <t>VÄRNAMO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45524</v>
      </c>
      <c r="E234" s="1" t="n">
        <v>46234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46234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46234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46234</v>
      </c>
      <c r="F237" t="inlineStr">
        <is>
          <t>JÖNKÖPINGS LÄN</t>
        </is>
      </c>
      <c r="G237" t="inlineStr">
        <is>
          <t>VÄRNAMO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45851</v>
      </c>
      <c r="E238" s="1" t="n">
        <v>46234</v>
      </c>
      <c r="F238" t="inlineStr">
        <is>
          <t>JÖNKÖPINGS LÄN</t>
        </is>
      </c>
      <c r="G238" t="inlineStr">
        <is>
          <t>VÄRNAMO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45221</v>
      </c>
      <c r="E239" s="1" t="n">
        <v>46234</v>
      </c>
      <c r="F239" t="inlineStr">
        <is>
          <t>JÖNKÖPINGS LÄN</t>
        </is>
      </c>
      <c r="G239" t="inlineStr">
        <is>
          <t>VÄRNAMO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54892-2025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45967</v>
      </c>
      <c r="E240" s="1" t="n">
        <v>46234</v>
      </c>
      <c r="F240" t="inlineStr">
        <is>
          <t>JÖNKÖPINGS LÄN</t>
        </is>
      </c>
      <c r="G240" t="inlineStr">
        <is>
          <t>VÄRNAMO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45851</v>
      </c>
      <c r="E241" s="1" t="n">
        <v>46234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58766-2022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44903</v>
      </c>
      <c r="E242" s="1" t="n">
        <v>46234</v>
      </c>
      <c r="F242" t="inlineStr">
        <is>
          <t>JÖNKÖPINGS LÄN</t>
        </is>
      </c>
      <c r="G242" t="inlineStr">
        <is>
          <t>VÄRNAMO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55454-2025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46234</v>
      </c>
      <c r="F243" t="inlineStr">
        <is>
          <t>JÖNKÖPINGS LÄN</t>
        </is>
      </c>
      <c r="G243" t="inlineStr">
        <is>
          <t>VÄRNAMO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45853</v>
      </c>
      <c r="E244" s="1" t="n">
        <v>46234</v>
      </c>
      <c r="F244" t="inlineStr">
        <is>
          <t>JÖNKÖPINGS LÄN</t>
        </is>
      </c>
      <c r="G244" t="inlineStr">
        <is>
          <t>VÄRNAMO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46234</v>
      </c>
      <c r="F245" t="inlineStr">
        <is>
          <t>JÖNKÖPINGS LÄN</t>
        </is>
      </c>
      <c r="G245" t="inlineStr">
        <is>
          <t>VÄRNAMO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46234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45748</v>
      </c>
      <c r="E247" s="1" t="n">
        <v>46234</v>
      </c>
      <c r="F247" t="inlineStr">
        <is>
          <t>JÖNKÖPINGS LÄN</t>
        </is>
      </c>
      <c r="G247" t="inlineStr">
        <is>
          <t>VÄRNAMO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45818-2022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46234</v>
      </c>
      <c r="F248" t="inlineStr">
        <is>
          <t>JÖNKÖPINGS LÄN</t>
        </is>
      </c>
      <c r="G248" t="inlineStr">
        <is>
          <t>VÄRNAMO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46234</v>
      </c>
      <c r="F249" t="inlineStr">
        <is>
          <t>JÖNKÖPINGS LÄN</t>
        </is>
      </c>
      <c r="G249" t="inlineStr">
        <is>
          <t>VÄRNAMO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46234</v>
      </c>
      <c r="F250" t="inlineStr">
        <is>
          <t>JÖNKÖPINGS LÄN</t>
        </is>
      </c>
      <c r="G250" t="inlineStr">
        <is>
          <t>VÄRNAMO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46234</v>
      </c>
      <c r="F251" t="inlineStr">
        <is>
          <t>JÖNKÖPINGS LÄN</t>
        </is>
      </c>
      <c r="G251" t="inlineStr">
        <is>
          <t>VÄRNAMO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44602</v>
      </c>
      <c r="E252" s="1" t="n">
        <v>46234</v>
      </c>
      <c r="F252" t="inlineStr">
        <is>
          <t>JÖNKÖPINGS LÄN</t>
        </is>
      </c>
      <c r="G252" t="inlineStr">
        <is>
          <t>VÄRNAMO</t>
        </is>
      </c>
      <c r="H252" t="inlineStr">
        <is>
          <t>Kommuner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46234</v>
      </c>
      <c r="F253" t="inlineStr">
        <is>
          <t>JÖNKÖPINGS LÄN</t>
        </is>
      </c>
      <c r="G253" t="inlineStr">
        <is>
          <t>VÄRNAMO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12852-2022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44642</v>
      </c>
      <c r="E254" s="1" t="n">
        <v>46234</v>
      </c>
      <c r="F254" t="inlineStr">
        <is>
          <t>JÖNKÖPINGS LÄN</t>
        </is>
      </c>
      <c r="G254" t="inlineStr">
        <is>
          <t>VÄRNAMO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44642</v>
      </c>
      <c r="E255" s="1" t="n">
        <v>46234</v>
      </c>
      <c r="F255" t="inlineStr">
        <is>
          <t>JÖNKÖPINGS LÄN</t>
        </is>
      </c>
      <c r="G255" t="inlineStr">
        <is>
          <t>VÄRNAMO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46234</v>
      </c>
      <c r="F256" t="inlineStr">
        <is>
          <t>JÖNKÖPINGS LÄN</t>
        </is>
      </c>
      <c r="G256" t="inlineStr">
        <is>
          <t>VÄRNAMO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45802</v>
      </c>
      <c r="E257" s="1" t="n">
        <v>46234</v>
      </c>
      <c r="F257" t="inlineStr">
        <is>
          <t>JÖNKÖPINGS LÄN</t>
        </is>
      </c>
      <c r="G257" t="inlineStr">
        <is>
          <t>VÄRNAMO</t>
        </is>
      </c>
      <c r="H257" t="inlineStr">
        <is>
          <t>Övriga Aktiebolag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46234</v>
      </c>
      <c r="F258" t="inlineStr">
        <is>
          <t>JÖNKÖPINGS LÄN</t>
        </is>
      </c>
      <c r="G258" t="inlineStr">
        <is>
          <t>VÄRNAMO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46234</v>
      </c>
      <c r="F259" t="inlineStr">
        <is>
          <t>JÖNKÖPINGS LÄN</t>
        </is>
      </c>
      <c r="G259" t="inlineStr">
        <is>
          <t>VÄRNAMO</t>
        </is>
      </c>
      <c r="H259" t="inlineStr">
        <is>
          <t>Kommuner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46234</v>
      </c>
      <c r="F260" t="inlineStr">
        <is>
          <t>JÖNKÖPINGS LÄN</t>
        </is>
      </c>
      <c r="G260" t="inlineStr">
        <is>
          <t>VÄRNAMO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45873</v>
      </c>
      <c r="E261" s="1" t="n">
        <v>46234</v>
      </c>
      <c r="F261" t="inlineStr">
        <is>
          <t>JÖNKÖPINGS LÄN</t>
        </is>
      </c>
      <c r="G261" t="inlineStr">
        <is>
          <t>VÄRNAMO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46234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46234</v>
      </c>
      <c r="F263" t="inlineStr">
        <is>
          <t>JÖNKÖPINGS LÄN</t>
        </is>
      </c>
      <c r="G263" t="inlineStr">
        <is>
          <t>VÄRNAMO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46234</v>
      </c>
      <c r="F264" t="inlineStr">
        <is>
          <t>JÖNKÖPINGS LÄN</t>
        </is>
      </c>
      <c r="G264" t="inlineStr">
        <is>
          <t>VÄRNAMO</t>
        </is>
      </c>
      <c r="I264" t="n">
        <v>14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44577</v>
      </c>
      <c r="E265" s="1" t="n">
        <v>46234</v>
      </c>
      <c r="F265" t="inlineStr">
        <is>
          <t>JÖNKÖPINGS LÄN</t>
        </is>
      </c>
      <c r="G265" t="inlineStr">
        <is>
          <t>VÄRNAMO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46234</v>
      </c>
      <c r="F266" t="inlineStr">
        <is>
          <t>JÖNKÖPINGS LÄN</t>
        </is>
      </c>
      <c r="G266" t="inlineStr">
        <is>
          <t>VÄRNAMO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46234</v>
      </c>
      <c r="F267" t="inlineStr">
        <is>
          <t>JÖNKÖPINGS LÄN</t>
        </is>
      </c>
      <c r="G267" t="inlineStr">
        <is>
          <t>VÄRNAMO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44566</v>
      </c>
      <c r="E268" s="1" t="n">
        <v>46234</v>
      </c>
      <c r="F268" t="inlineStr">
        <is>
          <t>JÖNKÖPINGS LÄN</t>
        </is>
      </c>
      <c r="G268" t="inlineStr">
        <is>
          <t>VÄRNAMO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46234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24703-2022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44727</v>
      </c>
      <c r="E270" s="1" t="n">
        <v>46234</v>
      </c>
      <c r="F270" t="inlineStr">
        <is>
          <t>JÖNKÖPINGS LÄN</t>
        </is>
      </c>
      <c r="G270" t="inlineStr">
        <is>
          <t>VÄRNAMO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46234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46234</v>
      </c>
      <c r="F272" t="inlineStr">
        <is>
          <t>JÖNKÖPINGS LÄN</t>
        </is>
      </c>
      <c r="G272" t="inlineStr">
        <is>
          <t>VÄRNAMO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46234</v>
      </c>
      <c r="F273" t="inlineStr">
        <is>
          <t>JÖNKÖPINGS LÄN</t>
        </is>
      </c>
      <c r="G273" t="inlineStr">
        <is>
          <t>VÄRNAMO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45590</v>
      </c>
      <c r="E274" s="1" t="n">
        <v>46234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62276-2023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45267</v>
      </c>
      <c r="E275" s="1" t="n">
        <v>46234</v>
      </c>
      <c r="F275" t="inlineStr">
        <is>
          <t>JÖNKÖPINGS LÄN</t>
        </is>
      </c>
      <c r="G275" t="inlineStr">
        <is>
          <t>VÄRNAMO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46234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46234</v>
      </c>
      <c r="F277" t="inlineStr">
        <is>
          <t>JÖNKÖPINGS LÄN</t>
        </is>
      </c>
      <c r="G277" t="inlineStr">
        <is>
          <t>VÄRNAMO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46234</v>
      </c>
      <c r="F278" t="inlineStr">
        <is>
          <t>JÖNKÖPINGS LÄN</t>
        </is>
      </c>
      <c r="G278" t="inlineStr">
        <is>
          <t>VÄRNAMO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46234</v>
      </c>
      <c r="F279" t="inlineStr">
        <is>
          <t>JÖNKÖPINGS LÄN</t>
        </is>
      </c>
      <c r="G279" t="inlineStr">
        <is>
          <t>VÄRNAMO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46234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46234</v>
      </c>
      <c r="F281" t="inlineStr">
        <is>
          <t>JÖNKÖPINGS LÄN</t>
        </is>
      </c>
      <c r="G281" t="inlineStr">
        <is>
          <t>VÄRNAMO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45987</v>
      </c>
      <c r="E282" s="1" t="n">
        <v>46234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46234</v>
      </c>
      <c r="F283" t="inlineStr">
        <is>
          <t>JÖNKÖPINGS LÄN</t>
        </is>
      </c>
      <c r="G283" t="inlineStr">
        <is>
          <t>VÄRNAMO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44840</v>
      </c>
      <c r="E284" s="1" t="n">
        <v>46234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46234</v>
      </c>
      <c r="F285" t="inlineStr">
        <is>
          <t>JÖNKÖPINGS LÄN</t>
        </is>
      </c>
      <c r="G285" t="inlineStr">
        <is>
          <t>VÄRNAMO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46234</v>
      </c>
      <c r="F286" t="inlineStr">
        <is>
          <t>JÖNKÖPINGS LÄN</t>
        </is>
      </c>
      <c r="G286" t="inlineStr">
        <is>
          <t>VÄRNAMO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46234</v>
      </c>
      <c r="F287" t="inlineStr">
        <is>
          <t>JÖNKÖPINGS LÄN</t>
        </is>
      </c>
      <c r="G287" t="inlineStr">
        <is>
          <t>VÄRNAMO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46234</v>
      </c>
      <c r="F288" t="inlineStr">
        <is>
          <t>JÖNKÖPINGS LÄN</t>
        </is>
      </c>
      <c r="G288" t="inlineStr">
        <is>
          <t>VÄRNAMO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45217</v>
      </c>
      <c r="E289" s="1" t="n">
        <v>46234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46234</v>
      </c>
      <c r="F290" t="inlineStr">
        <is>
          <t>JÖNKÖPINGS LÄN</t>
        </is>
      </c>
      <c r="G290" t="inlineStr">
        <is>
          <t>VÄRNAMO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46234</v>
      </c>
      <c r="F291" t="inlineStr">
        <is>
          <t>JÖNKÖPINGS LÄN</t>
        </is>
      </c>
      <c r="G291" t="inlineStr">
        <is>
          <t>VÄRNAMO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45328</v>
      </c>
      <c r="E292" s="1" t="n">
        <v>46234</v>
      </c>
      <c r="F292" t="inlineStr">
        <is>
          <t>JÖNKÖPINGS LÄN</t>
        </is>
      </c>
      <c r="G292" t="inlineStr">
        <is>
          <t>VÄRNAMO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46234</v>
      </c>
      <c r="F293" t="inlineStr">
        <is>
          <t>JÖNKÖPINGS LÄN</t>
        </is>
      </c>
      <c r="G293" t="inlineStr">
        <is>
          <t>VÄRNAMO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45245</v>
      </c>
      <c r="E294" s="1" t="n">
        <v>46234</v>
      </c>
      <c r="F294" t="inlineStr">
        <is>
          <t>JÖNKÖPINGS LÄN</t>
        </is>
      </c>
      <c r="G294" t="inlineStr">
        <is>
          <t>VÄRNAMO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45324</v>
      </c>
      <c r="E295" s="1" t="n">
        <v>46234</v>
      </c>
      <c r="F295" t="inlineStr">
        <is>
          <t>JÖNKÖPINGS LÄN</t>
        </is>
      </c>
      <c r="G295" t="inlineStr">
        <is>
          <t>VÄRNAMO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44722</v>
      </c>
      <c r="E296" s="1" t="n">
        <v>46234</v>
      </c>
      <c r="F296" t="inlineStr">
        <is>
          <t>JÖNKÖPINGS LÄN</t>
        </is>
      </c>
      <c r="G296" t="inlineStr">
        <is>
          <t>VÄRNAMO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46234</v>
      </c>
      <c r="F297" t="inlineStr">
        <is>
          <t>JÖNKÖPINGS LÄN</t>
        </is>
      </c>
      <c r="G297" t="inlineStr">
        <is>
          <t>VÄRNAMO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45120-2023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46234</v>
      </c>
      <c r="F298" t="inlineStr">
        <is>
          <t>JÖNKÖPINGS LÄN</t>
        </is>
      </c>
      <c r="G298" t="inlineStr">
        <is>
          <t>VÄRNAMO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46234</v>
      </c>
      <c r="F299" t="inlineStr">
        <is>
          <t>JÖNKÖPINGS LÄN</t>
        </is>
      </c>
      <c r="G299" t="inlineStr">
        <is>
          <t>VÄRNAMO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46234</v>
      </c>
      <c r="F300" t="inlineStr">
        <is>
          <t>JÖNKÖPINGS LÄN</t>
        </is>
      </c>
      <c r="G300" t="inlineStr">
        <is>
          <t>VÄRNAMO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59757-2021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44494</v>
      </c>
      <c r="E301" s="1" t="n">
        <v>46234</v>
      </c>
      <c r="F301" t="inlineStr">
        <is>
          <t>JÖNKÖPINGS LÄN</t>
        </is>
      </c>
      <c r="G301" t="inlineStr">
        <is>
          <t>VÄRNAMO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46234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46234</v>
      </c>
      <c r="F303" t="inlineStr">
        <is>
          <t>JÖNKÖPINGS LÄN</t>
        </is>
      </c>
      <c r="G303" t="inlineStr">
        <is>
          <t>VÄRNAMO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46234</v>
      </c>
      <c r="F304" t="inlineStr">
        <is>
          <t>JÖNKÖPINGS LÄN</t>
        </is>
      </c>
      <c r="G304" t="inlineStr">
        <is>
          <t>VÄRNAMO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44853</v>
      </c>
      <c r="E305" s="1" t="n">
        <v>46234</v>
      </c>
      <c r="F305" t="inlineStr">
        <is>
          <t>JÖNKÖPINGS LÄN</t>
        </is>
      </c>
      <c r="G305" t="inlineStr">
        <is>
          <t>VÄRNAMO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47987-2022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44853</v>
      </c>
      <c r="E306" s="1" t="n">
        <v>46234</v>
      </c>
      <c r="F306" t="inlineStr">
        <is>
          <t>JÖNKÖPINGS LÄN</t>
        </is>
      </c>
      <c r="G306" t="inlineStr">
        <is>
          <t>VÄRNAMO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46234</v>
      </c>
      <c r="F307" t="inlineStr">
        <is>
          <t>JÖNKÖPINGS LÄN</t>
        </is>
      </c>
      <c r="G307" t="inlineStr">
        <is>
          <t>VÄRNAMO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46234</v>
      </c>
      <c r="F308" t="inlineStr">
        <is>
          <t>JÖNKÖPINGS LÄN</t>
        </is>
      </c>
      <c r="G308" t="inlineStr">
        <is>
          <t>VÄRNAMO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46234</v>
      </c>
      <c r="F309" t="inlineStr">
        <is>
          <t>JÖNKÖPINGS LÄN</t>
        </is>
      </c>
      <c r="G309" t="inlineStr">
        <is>
          <t>VÄRNAMO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46234</v>
      </c>
      <c r="F310" t="inlineStr">
        <is>
          <t>JÖNKÖPINGS LÄN</t>
        </is>
      </c>
      <c r="G310" t="inlineStr">
        <is>
          <t>VÄRNAMO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46234</v>
      </c>
      <c r="F311" t="inlineStr">
        <is>
          <t>JÖNKÖPINGS LÄN</t>
        </is>
      </c>
      <c r="G311" t="inlineStr">
        <is>
          <t>VÄRNAMO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46234</v>
      </c>
      <c r="F312" t="inlineStr">
        <is>
          <t>JÖNKÖPINGS LÄN</t>
        </is>
      </c>
      <c r="G312" t="inlineStr">
        <is>
          <t>VÄRNAMO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46234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46234</v>
      </c>
      <c r="F314" t="inlineStr">
        <is>
          <t>JÖNKÖPINGS LÄN</t>
        </is>
      </c>
      <c r="G314" t="inlineStr">
        <is>
          <t>VÄRNAMO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46234</v>
      </c>
      <c r="F315" t="inlineStr">
        <is>
          <t>JÖNKÖPINGS LÄN</t>
        </is>
      </c>
      <c r="G315" t="inlineStr">
        <is>
          <t>VÄRNAMO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46234</v>
      </c>
      <c r="F316" t="inlineStr">
        <is>
          <t>JÖNKÖPINGS LÄN</t>
        </is>
      </c>
      <c r="G316" t="inlineStr">
        <is>
          <t>VÄRNAMO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46010</v>
      </c>
      <c r="E317" s="1" t="n">
        <v>46234</v>
      </c>
      <c r="F317" t="inlineStr">
        <is>
          <t>JÖNKÖPINGS LÄN</t>
        </is>
      </c>
      <c r="G317" t="inlineStr">
        <is>
          <t>VÄRNAMO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31730-2024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45509</v>
      </c>
      <c r="E318" s="1" t="n">
        <v>46234</v>
      </c>
      <c r="F318" t="inlineStr">
        <is>
          <t>JÖNKÖPINGS LÄN</t>
        </is>
      </c>
      <c r="G318" t="inlineStr">
        <is>
          <t>VÄRNAMO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45308</v>
      </c>
      <c r="E319" s="1" t="n">
        <v>46234</v>
      </c>
      <c r="F319" t="inlineStr">
        <is>
          <t>JÖNKÖPINGS LÄN</t>
        </is>
      </c>
      <c r="G319" t="inlineStr">
        <is>
          <t>VÄRNAMO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41460-2023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46234</v>
      </c>
      <c r="F320" t="inlineStr">
        <is>
          <t>JÖNKÖPINGS LÄN</t>
        </is>
      </c>
      <c r="G320" t="inlineStr">
        <is>
          <t>VÄRNAMO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46234</v>
      </c>
      <c r="F321" t="inlineStr">
        <is>
          <t>JÖNKÖPINGS LÄN</t>
        </is>
      </c>
      <c r="G321" t="inlineStr">
        <is>
          <t>VÄRNAMO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45642</v>
      </c>
      <c r="E322" s="1" t="n">
        <v>46234</v>
      </c>
      <c r="F322" t="inlineStr">
        <is>
          <t>JÖNKÖPINGS LÄN</t>
        </is>
      </c>
      <c r="G322" t="inlineStr">
        <is>
          <t>VÄRNAMO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40486-2022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44823</v>
      </c>
      <c r="E323" s="1" t="n">
        <v>46234</v>
      </c>
      <c r="F323" t="inlineStr">
        <is>
          <t>JÖNKÖPINGS LÄN</t>
        </is>
      </c>
      <c r="G323" t="inlineStr">
        <is>
          <t>VÄRNAMO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46234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48664-2023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46234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46029</v>
      </c>
      <c r="E326" s="1" t="n">
        <v>46234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46234</v>
      </c>
      <c r="F327" t="inlineStr">
        <is>
          <t>JÖNKÖPINGS LÄN</t>
        </is>
      </c>
      <c r="G327" t="inlineStr">
        <is>
          <t>VÄRNAMO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46234</v>
      </c>
      <c r="F328" t="inlineStr">
        <is>
          <t>JÖNKÖPINGS LÄN</t>
        </is>
      </c>
      <c r="G328" t="inlineStr">
        <is>
          <t>VÄRNAMO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46234</v>
      </c>
      <c r="F329" t="inlineStr">
        <is>
          <t>JÖNKÖPINGS LÄN</t>
        </is>
      </c>
      <c r="G329" t="inlineStr">
        <is>
          <t>VÄRNAMO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45124</v>
      </c>
      <c r="E330" s="1" t="n">
        <v>46234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46234</v>
      </c>
      <c r="F331" t="inlineStr">
        <is>
          <t>JÖNKÖPINGS LÄN</t>
        </is>
      </c>
      <c r="G331" t="inlineStr">
        <is>
          <t>VÄRNAMO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45056</v>
      </c>
      <c r="E332" s="1" t="n">
        <v>46234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46234</v>
      </c>
      <c r="F333" t="inlineStr">
        <is>
          <t>JÖNKÖPINGS LÄN</t>
        </is>
      </c>
      <c r="G333" t="inlineStr">
        <is>
          <t>VÄRNAMO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46234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44473</v>
      </c>
      <c r="E335" s="1" t="n">
        <v>46234</v>
      </c>
      <c r="F335" t="inlineStr">
        <is>
          <t>JÖNKÖPINGS LÄN</t>
        </is>
      </c>
      <c r="G335" t="inlineStr">
        <is>
          <t>VÄRNAMO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46234</v>
      </c>
      <c r="F336" t="inlineStr">
        <is>
          <t>JÖNKÖPINGS LÄN</t>
        </is>
      </c>
      <c r="G336" t="inlineStr">
        <is>
          <t>VÄRNAMO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46234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46234</v>
      </c>
      <c r="F338" t="inlineStr">
        <is>
          <t>JÖNKÖPINGS LÄN</t>
        </is>
      </c>
      <c r="G338" t="inlineStr">
        <is>
          <t>VÄRNAMO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46234</v>
      </c>
      <c r="F339" t="inlineStr">
        <is>
          <t>JÖNKÖPINGS LÄN</t>
        </is>
      </c>
      <c r="G339" t="inlineStr">
        <is>
          <t>VÄRNAMO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46234</v>
      </c>
      <c r="F340" t="inlineStr">
        <is>
          <t>JÖNKÖPINGS LÄN</t>
        </is>
      </c>
      <c r="G340" t="inlineStr">
        <is>
          <t>VÄRNAMO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46234</v>
      </c>
      <c r="F341" t="inlineStr">
        <is>
          <t>JÖNKÖPINGS LÄN</t>
        </is>
      </c>
      <c r="G341" t="inlineStr">
        <is>
          <t>VÄRNAMO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46234</v>
      </c>
      <c r="F342" t="inlineStr">
        <is>
          <t>JÖNKÖPINGS LÄN</t>
        </is>
      </c>
      <c r="G342" t="inlineStr">
        <is>
          <t>VÄRNAMO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46234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46234</v>
      </c>
      <c r="F344" t="inlineStr">
        <is>
          <t>JÖNKÖPINGS LÄN</t>
        </is>
      </c>
      <c r="G344" t="inlineStr">
        <is>
          <t>VÄRNAMO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46234</v>
      </c>
      <c r="F345" t="inlineStr">
        <is>
          <t>JÖNKÖPINGS LÄN</t>
        </is>
      </c>
      <c r="G345" t="inlineStr">
        <is>
          <t>VÄRNAMO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46234</v>
      </c>
      <c r="F346" t="inlineStr">
        <is>
          <t>JÖNKÖPINGS LÄN</t>
        </is>
      </c>
      <c r="G346" t="inlineStr">
        <is>
          <t>VÄRNAMO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46234</v>
      </c>
      <c r="F347" t="inlineStr">
        <is>
          <t>JÖNKÖPINGS LÄN</t>
        </is>
      </c>
      <c r="G347" t="inlineStr">
        <is>
          <t>VÄRNAMO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46234</v>
      </c>
      <c r="F348" t="inlineStr">
        <is>
          <t>JÖNKÖPINGS LÄN</t>
        </is>
      </c>
      <c r="G348" t="inlineStr">
        <is>
          <t>VÄRNAMO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46234</v>
      </c>
      <c r="F349" t="inlineStr">
        <is>
          <t>JÖNKÖPINGS LÄN</t>
        </is>
      </c>
      <c r="G349" t="inlineStr">
        <is>
          <t>VÄRNAMO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46234</v>
      </c>
      <c r="F350" t="inlineStr">
        <is>
          <t>JÖNKÖPINGS LÄN</t>
        </is>
      </c>
      <c r="G350" t="inlineStr">
        <is>
          <t>VÄRNAMO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46234</v>
      </c>
      <c r="F351" t="inlineStr">
        <is>
          <t>JÖNKÖPINGS LÄN</t>
        </is>
      </c>
      <c r="G351" t="inlineStr">
        <is>
          <t>VÄRNAMO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51430-2021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46234</v>
      </c>
      <c r="F352" t="inlineStr">
        <is>
          <t>JÖNKÖPINGS LÄN</t>
        </is>
      </c>
      <c r="G352" t="inlineStr">
        <is>
          <t>VÄRNAMO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46234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44931</v>
      </c>
      <c r="E354" s="1" t="n">
        <v>46234</v>
      </c>
      <c r="F354" t="inlineStr">
        <is>
          <t>JÖNKÖPINGS LÄN</t>
        </is>
      </c>
      <c r="G354" t="inlineStr">
        <is>
          <t>VÄRNAMO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46234</v>
      </c>
      <c r="F355" t="inlineStr">
        <is>
          <t>JÖNKÖPINGS LÄN</t>
        </is>
      </c>
      <c r="G355" t="inlineStr">
        <is>
          <t>VÄRNAMO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45684</v>
      </c>
      <c r="E356" s="1" t="n">
        <v>46234</v>
      </c>
      <c r="F356" t="inlineStr">
        <is>
          <t>JÖNKÖPINGS LÄN</t>
        </is>
      </c>
      <c r="G356" t="inlineStr">
        <is>
          <t>VÄRNAMO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18801-2023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46234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46234</v>
      </c>
      <c r="F358" t="inlineStr">
        <is>
          <t>JÖNKÖPINGS LÄN</t>
        </is>
      </c>
      <c r="G358" t="inlineStr">
        <is>
          <t>VÄRNAMO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45320</v>
      </c>
      <c r="E359" s="1" t="n">
        <v>46234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46050</v>
      </c>
      <c r="E360" s="1" t="n">
        <v>46234</v>
      </c>
      <c r="F360" t="inlineStr">
        <is>
          <t>JÖNKÖPINGS LÄN</t>
        </is>
      </c>
      <c r="G360" t="inlineStr">
        <is>
          <t>VÄRNAMO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45261</v>
      </c>
      <c r="E361" s="1" t="n">
        <v>46234</v>
      </c>
      <c r="F361" t="inlineStr">
        <is>
          <t>JÖNKÖPINGS LÄN</t>
        </is>
      </c>
      <c r="G361" t="inlineStr">
        <is>
          <t>VÄRNAMO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44993</v>
      </c>
      <c r="E362" s="1" t="n">
        <v>46234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46234</v>
      </c>
      <c r="F363" t="inlineStr">
        <is>
          <t>JÖNKÖPINGS LÄN</t>
        </is>
      </c>
      <c r="G363" t="inlineStr">
        <is>
          <t>VÄRNAMO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46234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46676-2021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44445</v>
      </c>
      <c r="E365" s="1" t="n">
        <v>46234</v>
      </c>
      <c r="F365" t="inlineStr">
        <is>
          <t>JÖNKÖPINGS LÄN</t>
        </is>
      </c>
      <c r="G365" t="inlineStr">
        <is>
          <t>VÄRNAMO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54477-2022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44882</v>
      </c>
      <c r="E366" s="1" t="n">
        <v>46234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46234</v>
      </c>
      <c r="F367" t="inlineStr">
        <is>
          <t>JÖNKÖPINGS LÄN</t>
        </is>
      </c>
      <c r="G367" t="inlineStr">
        <is>
          <t>VÄRNAMO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45667</v>
      </c>
      <c r="E368" s="1" t="n">
        <v>46234</v>
      </c>
      <c r="F368" t="inlineStr">
        <is>
          <t>JÖNKÖPINGS LÄN</t>
        </is>
      </c>
      <c r="G368" t="inlineStr">
        <is>
          <t>VÄRNAMO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46234</v>
      </c>
      <c r="F369" t="inlineStr">
        <is>
          <t>JÖNKÖPINGS LÄN</t>
        </is>
      </c>
      <c r="G369" t="inlineStr">
        <is>
          <t>VÄRNAMO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46234</v>
      </c>
      <c r="F370" t="inlineStr">
        <is>
          <t>JÖNKÖPINGS LÄN</t>
        </is>
      </c>
      <c r="G370" t="inlineStr">
        <is>
          <t>VÄRNAMO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46234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29089-2023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46234</v>
      </c>
      <c r="F372" t="inlineStr">
        <is>
          <t>JÖNKÖPINGS LÄN</t>
        </is>
      </c>
      <c r="G372" t="inlineStr">
        <is>
          <t>VÄRNAMO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29090-2023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45105</v>
      </c>
      <c r="E373" s="1" t="n">
        <v>46234</v>
      </c>
      <c r="F373" t="inlineStr">
        <is>
          <t>JÖNKÖPINGS LÄN</t>
        </is>
      </c>
      <c r="G373" t="inlineStr">
        <is>
          <t>VÄRNAMO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46234</v>
      </c>
      <c r="F374" t="inlineStr">
        <is>
          <t>JÖNKÖPINGS LÄN</t>
        </is>
      </c>
      <c r="G374" t="inlineStr">
        <is>
          <t>VÄRNAMO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45043</v>
      </c>
      <c r="E375" s="1" t="n">
        <v>46234</v>
      </c>
      <c r="F375" t="inlineStr">
        <is>
          <t>JÖNKÖPINGS LÄN</t>
        </is>
      </c>
      <c r="G375" t="inlineStr">
        <is>
          <t>VÄRNAMO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46064</v>
      </c>
      <c r="E376" s="1" t="n">
        <v>46234</v>
      </c>
      <c r="F376" t="inlineStr">
        <is>
          <t>JÖNKÖPINGS LÄN</t>
        </is>
      </c>
      <c r="G376" t="inlineStr">
        <is>
          <t>VÄRNAMO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45372</v>
      </c>
      <c r="E377" s="1" t="n">
        <v>46234</v>
      </c>
      <c r="F377" t="inlineStr">
        <is>
          <t>JÖNKÖPINGS LÄN</t>
        </is>
      </c>
      <c r="G377" t="inlineStr">
        <is>
          <t>VÄRNAMO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45400</v>
      </c>
      <c r="E378" s="1" t="n">
        <v>46234</v>
      </c>
      <c r="F378" t="inlineStr">
        <is>
          <t>JÖNKÖPINGS LÄN</t>
        </is>
      </c>
      <c r="G378" t="inlineStr">
        <is>
          <t>VÄRNAMO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51474-2023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45221</v>
      </c>
      <c r="E379" s="1" t="n">
        <v>46234</v>
      </c>
      <c r="F379" t="inlineStr">
        <is>
          <t>JÖNKÖPINGS LÄN</t>
        </is>
      </c>
      <c r="G379" t="inlineStr">
        <is>
          <t>VÄRNAMO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46234</v>
      </c>
      <c r="F380" t="inlineStr">
        <is>
          <t>JÖNKÖPINGS LÄN</t>
        </is>
      </c>
      <c r="G380" t="inlineStr">
        <is>
          <t>VÄRNAMO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45642</v>
      </c>
      <c r="E381" s="1" t="n">
        <v>46234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46234</v>
      </c>
      <c r="F382" t="inlineStr">
        <is>
          <t>JÖNKÖPINGS LÄN</t>
        </is>
      </c>
      <c r="G382" t="inlineStr">
        <is>
          <t>VÄRNAMO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45272</v>
      </c>
      <c r="E383" s="1" t="n">
        <v>46234</v>
      </c>
      <c r="F383" t="inlineStr">
        <is>
          <t>JÖNKÖPINGS LÄN</t>
        </is>
      </c>
      <c r="G383" t="inlineStr">
        <is>
          <t>VÄRNAMO</t>
        </is>
      </c>
      <c r="H383" t="inlineStr">
        <is>
          <t>Kommuner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45369</v>
      </c>
      <c r="E384" s="1" t="n">
        <v>46234</v>
      </c>
      <c r="F384" t="inlineStr">
        <is>
          <t>JÖNKÖPINGS LÄN</t>
        </is>
      </c>
      <c r="G384" t="inlineStr">
        <is>
          <t>VÄRNAMO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46234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46234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46234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46234</v>
      </c>
      <c r="F388" t="inlineStr">
        <is>
          <t>JÖNKÖPINGS LÄN</t>
        </is>
      </c>
      <c r="G388" t="inlineStr">
        <is>
          <t>VÄRNAMO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46234</v>
      </c>
      <c r="F389" t="inlineStr">
        <is>
          <t>JÖNKÖPINGS LÄN</t>
        </is>
      </c>
      <c r="G389" t="inlineStr">
        <is>
          <t>VÄRNAMO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9970-2026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46234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46234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46234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46234</v>
      </c>
      <c r="F393" t="inlineStr">
        <is>
          <t>JÖNKÖPINGS LÄN</t>
        </is>
      </c>
      <c r="G393" t="inlineStr">
        <is>
          <t>VÄRNAMO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7727-2022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44608</v>
      </c>
      <c r="E394" s="1" t="n">
        <v>46234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46080</v>
      </c>
      <c r="E395" s="1" t="n">
        <v>46234</v>
      </c>
      <c r="F395" t="inlineStr">
        <is>
          <t>JÖNKÖPINGS LÄN</t>
        </is>
      </c>
      <c r="G395" t="inlineStr">
        <is>
          <t>VÄRNAMO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11267-2026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46080</v>
      </c>
      <c r="E396" s="1" t="n">
        <v>46234</v>
      </c>
      <c r="F396" t="inlineStr">
        <is>
          <t>JÖNKÖPINGS LÄN</t>
        </is>
      </c>
      <c r="G396" t="inlineStr">
        <is>
          <t>VÄRNAMO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46234</v>
      </c>
      <c r="F397" t="inlineStr">
        <is>
          <t>JÖNKÖPINGS LÄN</t>
        </is>
      </c>
      <c r="G397" t="inlineStr">
        <is>
          <t>VÄRNAMO</t>
        </is>
      </c>
      <c r="H397" t="inlineStr">
        <is>
          <t>Kommuner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11258-2026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46080</v>
      </c>
      <c r="E398" s="1" t="n">
        <v>46234</v>
      </c>
      <c r="F398" t="inlineStr">
        <is>
          <t>JÖNKÖPINGS LÄN</t>
        </is>
      </c>
      <c r="G398" t="inlineStr">
        <is>
          <t>VÄRNAMO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46234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8968-2024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45357</v>
      </c>
      <c r="E400" s="1" t="n">
        <v>46234</v>
      </c>
      <c r="F400" t="inlineStr">
        <is>
          <t>JÖNKÖPINGS LÄN</t>
        </is>
      </c>
      <c r="G400" t="inlineStr">
        <is>
          <t>VÄRNAMO</t>
        </is>
      </c>
      <c r="H400" t="inlineStr">
        <is>
          <t>Sveaskog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12892-2022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44642</v>
      </c>
      <c r="E401" s="1" t="n">
        <v>46234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45756</v>
      </c>
      <c r="E402" s="1" t="n">
        <v>46234</v>
      </c>
      <c r="F402" t="inlineStr">
        <is>
          <t>JÖNKÖPINGS LÄN</t>
        </is>
      </c>
      <c r="G402" t="inlineStr">
        <is>
          <t>VÄRNAMO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12095-2026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46086</v>
      </c>
      <c r="E403" s="1" t="n">
        <v>46234</v>
      </c>
      <c r="F403" t="inlineStr">
        <is>
          <t>JÖNKÖPINGS LÄN</t>
        </is>
      </c>
      <c r="G403" t="inlineStr">
        <is>
          <t>VÄRNAMO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46234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46234</v>
      </c>
      <c r="F405" t="inlineStr">
        <is>
          <t>JÖNKÖPINGS LÄN</t>
        </is>
      </c>
      <c r="G405" t="inlineStr">
        <is>
          <t>VÄRNAMO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45496</v>
      </c>
      <c r="E406" s="1" t="n">
        <v>46234</v>
      </c>
      <c r="F406" t="inlineStr">
        <is>
          <t>JÖNKÖPINGS LÄN</t>
        </is>
      </c>
      <c r="G406" t="inlineStr">
        <is>
          <t>VÄRNAMO</t>
        </is>
      </c>
      <c r="H406" t="inlineStr">
        <is>
          <t>Kommuner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46234</v>
      </c>
      <c r="F407" t="inlineStr">
        <is>
          <t>JÖNKÖPINGS LÄN</t>
        </is>
      </c>
      <c r="G407" t="inlineStr">
        <is>
          <t>VÄRNAMO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46234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44985</v>
      </c>
      <c r="E409" s="1" t="n">
        <v>46234</v>
      </c>
      <c r="F409" t="inlineStr">
        <is>
          <t>JÖNKÖPINGS LÄN</t>
        </is>
      </c>
      <c r="G409" t="inlineStr">
        <is>
          <t>VÄRNAMO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45021</v>
      </c>
      <c r="E410" s="1" t="n">
        <v>46234</v>
      </c>
      <c r="F410" t="inlineStr">
        <is>
          <t>JÖNKÖPINGS LÄN</t>
        </is>
      </c>
      <c r="G410" t="inlineStr">
        <is>
          <t>VÄRNAMO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45401</v>
      </c>
      <c r="E411" s="1" t="n">
        <v>46234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74102-2021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44557</v>
      </c>
      <c r="E412" s="1" t="n">
        <v>46234</v>
      </c>
      <c r="F412" t="inlineStr">
        <is>
          <t>JÖNKÖPINGS LÄN</t>
        </is>
      </c>
      <c r="G412" t="inlineStr">
        <is>
          <t>VÄRNAMO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46234</v>
      </c>
      <c r="F413" t="inlineStr">
        <is>
          <t>JÖNKÖPINGS LÄN</t>
        </is>
      </c>
      <c r="G413" t="inlineStr">
        <is>
          <t>VÄRNAMO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46234</v>
      </c>
      <c r="F414" t="inlineStr">
        <is>
          <t>JÖNKÖPINGS LÄN</t>
        </is>
      </c>
      <c r="G414" t="inlineStr">
        <is>
          <t>VÄRNAMO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44470</v>
      </c>
      <c r="E415" s="1" t="n">
        <v>46234</v>
      </c>
      <c r="F415" t="inlineStr">
        <is>
          <t>JÖNKÖPINGS LÄN</t>
        </is>
      </c>
      <c r="G415" t="inlineStr">
        <is>
          <t>VÄRNAMO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14246-2026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46234</v>
      </c>
      <c r="F416" t="inlineStr">
        <is>
          <t>JÖNKÖPINGS LÄN</t>
        </is>
      </c>
      <c r="G416" t="inlineStr">
        <is>
          <t>VÄRNAMO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16445-2023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45029</v>
      </c>
      <c r="E417" s="1" t="n">
        <v>46234</v>
      </c>
      <c r="F417" t="inlineStr">
        <is>
          <t>JÖNKÖPINGS LÄN</t>
        </is>
      </c>
      <c r="G417" t="inlineStr">
        <is>
          <t>VÄRNAMO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71233-2021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44539</v>
      </c>
      <c r="E418" s="1" t="n">
        <v>46234</v>
      </c>
      <c r="F418" t="inlineStr">
        <is>
          <t>JÖNKÖPINGS LÄN</t>
        </is>
      </c>
      <c r="G418" t="inlineStr">
        <is>
          <t>VÄRNAMO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14698-2026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46101</v>
      </c>
      <c r="E419" s="1" t="n">
        <v>46234</v>
      </c>
      <c r="F419" t="inlineStr">
        <is>
          <t>JÖNKÖPINGS LÄN</t>
        </is>
      </c>
      <c r="G419" t="inlineStr">
        <is>
          <t>VÄRNAMO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37899-2023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46234</v>
      </c>
      <c r="F420" t="inlineStr">
        <is>
          <t>JÖNKÖPINGS LÄN</t>
        </is>
      </c>
      <c r="G420" t="inlineStr">
        <is>
          <t>VÄRNAMO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46234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44928</v>
      </c>
      <c r="E422" s="1" t="n">
        <v>46234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46234</v>
      </c>
      <c r="F423" t="inlineStr">
        <is>
          <t>JÖNKÖPINGS LÄN</t>
        </is>
      </c>
      <c r="G423" t="inlineStr">
        <is>
          <t>VÄRNAMO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46234</v>
      </c>
      <c r="F424" t="inlineStr">
        <is>
          <t>JÖNKÖPINGS LÄN</t>
        </is>
      </c>
      <c r="G424" t="inlineStr">
        <is>
          <t>VÄRNAMO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46234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45608</v>
      </c>
      <c r="E426" s="1" t="n">
        <v>46234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45558</v>
      </c>
      <c r="E427" s="1" t="n">
        <v>46234</v>
      </c>
      <c r="F427" t="inlineStr">
        <is>
          <t>JÖNKÖPINGS LÄN</t>
        </is>
      </c>
      <c r="G427" t="inlineStr">
        <is>
          <t>VÄRNAMO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46234</v>
      </c>
      <c r="F428" t="inlineStr">
        <is>
          <t>JÖNKÖPINGS LÄN</t>
        </is>
      </c>
      <c r="G428" t="inlineStr">
        <is>
          <t>VÄRNAMO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46234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45200</v>
      </c>
      <c r="E430" s="1" t="n">
        <v>46234</v>
      </c>
      <c r="F430" t="inlineStr">
        <is>
          <t>JÖNKÖPINGS LÄN</t>
        </is>
      </c>
      <c r="G430" t="inlineStr">
        <is>
          <t>VÄRNAMO</t>
        </is>
      </c>
      <c r="H430" t="inlineStr">
        <is>
          <t>Övriga Aktiebolag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46234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44686</v>
      </c>
      <c r="E432" s="1" t="n">
        <v>46234</v>
      </c>
      <c r="F432" t="inlineStr">
        <is>
          <t>JÖNKÖPINGS LÄN</t>
        </is>
      </c>
      <c r="G432" t="inlineStr">
        <is>
          <t>VÄRNAMO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44942</v>
      </c>
      <c r="E433" s="1" t="n">
        <v>46234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46234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63430-2023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45274</v>
      </c>
      <c r="E435" s="1" t="n">
        <v>46234</v>
      </c>
      <c r="F435" t="inlineStr">
        <is>
          <t>JÖNKÖPINGS LÄN</t>
        </is>
      </c>
      <c r="G435" t="inlineStr">
        <is>
          <t>VÄRNAMO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15101-2026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46101</v>
      </c>
      <c r="E436" s="1" t="n">
        <v>46234</v>
      </c>
      <c r="F436" t="inlineStr">
        <is>
          <t>JÖNKÖPINGS LÄN</t>
        </is>
      </c>
      <c r="G436" t="inlineStr">
        <is>
          <t>VÄRNAMO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44797</v>
      </c>
      <c r="E437" s="1" t="n">
        <v>46234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45302</v>
      </c>
      <c r="E438" s="1" t="n">
        <v>46234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45589</v>
      </c>
      <c r="E439" s="1" t="n">
        <v>46234</v>
      </c>
      <c r="F439" t="inlineStr">
        <is>
          <t>JÖNKÖPINGS LÄN</t>
        </is>
      </c>
      <c r="G439" t="inlineStr">
        <is>
          <t>VÄRNAMO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46234</v>
      </c>
      <c r="F440" t="inlineStr">
        <is>
          <t>JÖNKÖPINGS LÄN</t>
        </is>
      </c>
      <c r="G440" t="inlineStr">
        <is>
          <t>VÄRNAMO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46234</v>
      </c>
      <c r="F441" t="inlineStr">
        <is>
          <t>JÖNKÖPINGS LÄN</t>
        </is>
      </c>
      <c r="G441" t="inlineStr">
        <is>
          <t>VÄRNAMO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46234</v>
      </c>
      <c r="F442" t="inlineStr">
        <is>
          <t>JÖNKÖPINGS LÄN</t>
        </is>
      </c>
      <c r="G442" t="inlineStr">
        <is>
          <t>VÄRNAMO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46234</v>
      </c>
      <c r="F443" t="inlineStr">
        <is>
          <t>JÖNKÖPINGS LÄN</t>
        </is>
      </c>
      <c r="G443" t="inlineStr">
        <is>
          <t>VÄRNAMO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46127</v>
      </c>
      <c r="E444" s="1" t="n">
        <v>46234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46234</v>
      </c>
      <c r="F445" t="inlineStr">
        <is>
          <t>JÖNKÖPINGS LÄN</t>
        </is>
      </c>
      <c r="G445" t="inlineStr">
        <is>
          <t>VÄRNAMO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45007</v>
      </c>
      <c r="E446" s="1" t="n">
        <v>46234</v>
      </c>
      <c r="F446" t="inlineStr">
        <is>
          <t>JÖNKÖPINGS LÄN</t>
        </is>
      </c>
      <c r="G446" t="inlineStr">
        <is>
          <t>VÄRNAMO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46127</v>
      </c>
      <c r="E447" s="1" t="n">
        <v>46234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46234</v>
      </c>
      <c r="F448" t="inlineStr">
        <is>
          <t>JÖNKÖPINGS LÄN</t>
        </is>
      </c>
      <c r="G448" t="inlineStr">
        <is>
          <t>VÄRNAMO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46234</v>
      </c>
      <c r="F449" t="inlineStr">
        <is>
          <t>JÖNKÖPINGS LÄN</t>
        </is>
      </c>
      <c r="G449" t="inlineStr">
        <is>
          <t>VÄRNAMO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46234</v>
      </c>
      <c r="F450" t="inlineStr">
        <is>
          <t>JÖNKÖPINGS LÄN</t>
        </is>
      </c>
      <c r="G450" t="inlineStr">
        <is>
          <t>VÄRNAMO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46234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45302</v>
      </c>
      <c r="E452" s="1" t="n">
        <v>46234</v>
      </c>
      <c r="F452" t="inlineStr">
        <is>
          <t>JÖNKÖPINGS LÄN</t>
        </is>
      </c>
      <c r="G452" t="inlineStr">
        <is>
          <t>VÄRNAMO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44652</v>
      </c>
      <c r="E453" s="1" t="n">
        <v>46234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22855-2023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45072</v>
      </c>
      <c r="E454" s="1" t="n">
        <v>46234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45271</v>
      </c>
      <c r="E455" s="1" t="n">
        <v>46234</v>
      </c>
      <c r="F455" t="inlineStr">
        <is>
          <t>JÖNKÖPINGS LÄN</t>
        </is>
      </c>
      <c r="G455" t="inlineStr">
        <is>
          <t>VÄRNAMO</t>
        </is>
      </c>
      <c r="H455" t="inlineStr">
        <is>
          <t>Kommuner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46234</v>
      </c>
      <c r="F456" t="inlineStr">
        <is>
          <t>JÖNKÖPINGS LÄN</t>
        </is>
      </c>
      <c r="G456" t="inlineStr">
        <is>
          <t>VÄRNAMO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38501-2023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45162</v>
      </c>
      <c r="E457" s="1" t="n">
        <v>46234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19250-2025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46234</v>
      </c>
      <c r="F458" t="inlineStr">
        <is>
          <t>JÖNKÖPINGS LÄN</t>
        </is>
      </c>
      <c r="G458" t="inlineStr">
        <is>
          <t>VÄRNAMO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46234</v>
      </c>
      <c r="F459" t="inlineStr">
        <is>
          <t>JÖNKÖPINGS LÄN</t>
        </is>
      </c>
      <c r="G459" t="inlineStr">
        <is>
          <t>VÄRNAMO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46234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46234</v>
      </c>
      <c r="F461" t="inlineStr">
        <is>
          <t>JÖNKÖPINGS LÄN</t>
        </is>
      </c>
      <c r="G461" t="inlineStr">
        <is>
          <t>VÄRNAMO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46234</v>
      </c>
      <c r="F462" t="inlineStr">
        <is>
          <t>JÖNKÖPINGS LÄN</t>
        </is>
      </c>
      <c r="G462" t="inlineStr">
        <is>
          <t>VÄRNAMO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46234</v>
      </c>
      <c r="F463" t="inlineStr">
        <is>
          <t>JÖNKÖPINGS LÄN</t>
        </is>
      </c>
      <c r="G463" t="inlineStr">
        <is>
          <t>VÄRNAMO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45519</v>
      </c>
      <c r="E464" s="1" t="n">
        <v>46234</v>
      </c>
      <c r="F464" t="inlineStr">
        <is>
          <t>JÖNKÖPINGS LÄN</t>
        </is>
      </c>
      <c r="G464" t="inlineStr">
        <is>
          <t>VÄRNAMO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45509</v>
      </c>
      <c r="E465" s="1" t="n">
        <v>46234</v>
      </c>
      <c r="F465" t="inlineStr">
        <is>
          <t>JÖNKÖPINGS LÄN</t>
        </is>
      </c>
      <c r="G465" t="inlineStr">
        <is>
          <t>VÄRNAMO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46234</v>
      </c>
      <c r="F466" t="inlineStr">
        <is>
          <t>JÖNKÖPINGS LÄN</t>
        </is>
      </c>
      <c r="G466" t="inlineStr">
        <is>
          <t>VÄRNAMO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46234</v>
      </c>
      <c r="F467" t="inlineStr">
        <is>
          <t>JÖNKÖPINGS LÄN</t>
        </is>
      </c>
      <c r="G467" t="inlineStr">
        <is>
          <t>VÄRNAMO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46234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45308</v>
      </c>
      <c r="E469" s="1" t="n">
        <v>46234</v>
      </c>
      <c r="F469" t="inlineStr">
        <is>
          <t>JÖNKÖPINGS LÄN</t>
        </is>
      </c>
      <c r="G469" t="inlineStr">
        <is>
          <t>VÄRNAMO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44721-2025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45917</v>
      </c>
      <c r="E470" s="1" t="n">
        <v>46234</v>
      </c>
      <c r="F470" t="inlineStr">
        <is>
          <t>JÖNKÖPINGS LÄN</t>
        </is>
      </c>
      <c r="G470" t="inlineStr">
        <is>
          <t>VÄRNAMO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54704-2025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45966</v>
      </c>
      <c r="E471" s="1" t="n">
        <v>46234</v>
      </c>
      <c r="F471" t="inlineStr">
        <is>
          <t>JÖNKÖPINGS LÄN</t>
        </is>
      </c>
      <c r="G471" t="inlineStr">
        <is>
          <t>VÄRNAMO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29162-2023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45105</v>
      </c>
      <c r="E472" s="1" t="n">
        <v>46234</v>
      </c>
      <c r="F472" t="inlineStr">
        <is>
          <t>JÖNKÖPINGS LÄN</t>
        </is>
      </c>
      <c r="G472" t="inlineStr">
        <is>
          <t>VÄRNAMO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29168-2023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45105</v>
      </c>
      <c r="E473" s="1" t="n">
        <v>46234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46234</v>
      </c>
      <c r="F474" t="inlineStr">
        <is>
          <t>JÖNKÖPINGS LÄN</t>
        </is>
      </c>
      <c r="G474" t="inlineStr">
        <is>
          <t>VÄRNAMO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46234</v>
      </c>
      <c r="F475" t="inlineStr">
        <is>
          <t>JÖNKÖPINGS LÄN</t>
        </is>
      </c>
      <c r="G475" t="inlineStr">
        <is>
          <t>VÄRNAMO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57858-2024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45631</v>
      </c>
      <c r="E476" s="1" t="n">
        <v>46234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14439-2023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45012</v>
      </c>
      <c r="E477" s="1" t="n">
        <v>46234</v>
      </c>
      <c r="F477" t="inlineStr">
        <is>
          <t>JÖNKÖPINGS LÄN</t>
        </is>
      </c>
      <c r="G477" t="inlineStr">
        <is>
          <t>VÄRNAMO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43162-2024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45567</v>
      </c>
      <c r="E478" s="1" t="n">
        <v>46234</v>
      </c>
      <c r="F478" t="inlineStr">
        <is>
          <t>JÖNKÖPINGS LÄN</t>
        </is>
      </c>
      <c r="G478" t="inlineStr">
        <is>
          <t>VÄRNAMO</t>
        </is>
      </c>
      <c r="H478" t="inlineStr">
        <is>
          <t>Kommuner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46234</v>
      </c>
      <c r="F479" t="inlineStr">
        <is>
          <t>JÖNKÖPINGS LÄN</t>
        </is>
      </c>
      <c r="G479" t="inlineStr">
        <is>
          <t>VÄRNAMO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42475-2025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45905</v>
      </c>
      <c r="E480" s="1" t="n">
        <v>46234</v>
      </c>
      <c r="F480" t="inlineStr">
        <is>
          <t>JÖNKÖPINGS LÄN</t>
        </is>
      </c>
      <c r="G480" t="inlineStr">
        <is>
          <t>VÄRNAMO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45841</v>
      </c>
      <c r="E481" s="1" t="n">
        <v>46234</v>
      </c>
      <c r="F481" t="inlineStr">
        <is>
          <t>JÖNKÖPINGS LÄN</t>
        </is>
      </c>
      <c r="G481" t="inlineStr">
        <is>
          <t>VÄRNAMO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45078</v>
      </c>
      <c r="E482" s="1" t="n">
        <v>46234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33315-2025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45841</v>
      </c>
      <c r="E483" s="1" t="n">
        <v>46234</v>
      </c>
      <c r="F483" t="inlineStr">
        <is>
          <t>JÖNKÖPINGS LÄN</t>
        </is>
      </c>
      <c r="G483" t="inlineStr">
        <is>
          <t>VÄRNAMO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45785</v>
      </c>
      <c r="E484" s="1" t="n">
        <v>46234</v>
      </c>
      <c r="F484" t="inlineStr">
        <is>
          <t>JÖNKÖPINGS LÄN</t>
        </is>
      </c>
      <c r="G484" t="inlineStr">
        <is>
          <t>VÄRNAMO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48615-2025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46234</v>
      </c>
      <c r="F485" t="inlineStr">
        <is>
          <t>JÖNKÖPINGS LÄN</t>
        </is>
      </c>
      <c r="G485" t="inlineStr">
        <is>
          <t>VÄRNAMO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46234</v>
      </c>
      <c r="F486" t="inlineStr">
        <is>
          <t>JÖNKÖPINGS LÄN</t>
        </is>
      </c>
      <c r="G486" t="inlineStr">
        <is>
          <t>VÄRNAMO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45357</v>
      </c>
      <c r="E487" s="1" t="n">
        <v>46234</v>
      </c>
      <c r="F487" t="inlineStr">
        <is>
          <t>JÖNKÖPINGS LÄN</t>
        </is>
      </c>
      <c r="G487" t="inlineStr">
        <is>
          <t>VÄRNAMO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45069</v>
      </c>
      <c r="E488" s="1" t="n">
        <v>46234</v>
      </c>
      <c r="F488" t="inlineStr">
        <is>
          <t>JÖNKÖPINGS LÄN</t>
        </is>
      </c>
      <c r="G488" t="inlineStr">
        <is>
          <t>VÄRNAMO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46234</v>
      </c>
      <c r="F489" t="inlineStr">
        <is>
          <t>JÖNKÖPINGS LÄN</t>
        </is>
      </c>
      <c r="G489" t="inlineStr">
        <is>
          <t>VÄRNAMO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44846</v>
      </c>
      <c r="E490" s="1" t="n">
        <v>46234</v>
      </c>
      <c r="F490" t="inlineStr">
        <is>
          <t>JÖNKÖPINGS LÄN</t>
        </is>
      </c>
      <c r="G490" t="inlineStr">
        <is>
          <t>VÄRNAMO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45517</v>
      </c>
      <c r="E491" s="1" t="n">
        <v>46234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45713</v>
      </c>
      <c r="E492" s="1" t="n">
        <v>46234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68171-2021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44526</v>
      </c>
      <c r="E493" s="1" t="n">
        <v>46234</v>
      </c>
      <c r="F493" t="inlineStr">
        <is>
          <t>JÖNKÖPINGS LÄN</t>
        </is>
      </c>
      <c r="G493" t="inlineStr">
        <is>
          <t>VÄRNAMO</t>
        </is>
      </c>
      <c r="H493" t="inlineStr">
        <is>
          <t>Kommuner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11210-2024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45371</v>
      </c>
      <c r="E494" s="1" t="n">
        <v>46234</v>
      </c>
      <c r="F494" t="inlineStr">
        <is>
          <t>JÖNKÖPINGS LÄN</t>
        </is>
      </c>
      <c r="G494" t="inlineStr">
        <is>
          <t>VÄRNAMO</t>
        </is>
      </c>
      <c r="H494" t="inlineStr">
        <is>
          <t>Sveaskog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46234</v>
      </c>
      <c r="F495" t="inlineStr">
        <is>
          <t>JÖNKÖPINGS LÄN</t>
        </is>
      </c>
      <c r="G495" t="inlineStr">
        <is>
          <t>VÄRNAMO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55373-2023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46234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45509</v>
      </c>
      <c r="E497" s="1" t="n">
        <v>46234</v>
      </c>
      <c r="F497" t="inlineStr">
        <is>
          <t>JÖNKÖPINGS LÄN</t>
        </is>
      </c>
      <c r="G497" t="inlineStr">
        <is>
          <t>VÄRNAMO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37902-2023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45160</v>
      </c>
      <c r="E498" s="1" t="n">
        <v>46234</v>
      </c>
      <c r="F498" t="inlineStr">
        <is>
          <t>JÖNKÖPINGS LÄN</t>
        </is>
      </c>
      <c r="G498" t="inlineStr">
        <is>
          <t>VÄRNAMO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45876</v>
      </c>
      <c r="E499" s="1" t="n">
        <v>46234</v>
      </c>
      <c r="F499" t="inlineStr">
        <is>
          <t>JÖNKÖPINGS LÄN</t>
        </is>
      </c>
      <c r="G499" t="inlineStr">
        <is>
          <t>VÄRNAMO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51294-2023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45219</v>
      </c>
      <c r="E500" s="1" t="n">
        <v>46234</v>
      </c>
      <c r="F500" t="inlineStr">
        <is>
          <t>JÖNKÖPINGS LÄN</t>
        </is>
      </c>
      <c r="G500" t="inlineStr">
        <is>
          <t>VÄRNAMO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45827</v>
      </c>
      <c r="E501" s="1" t="n">
        <v>46234</v>
      </c>
      <c r="F501" t="inlineStr">
        <is>
          <t>JÖNKÖPINGS LÄN</t>
        </is>
      </c>
      <c r="G501" t="inlineStr">
        <is>
          <t>VÄRNAMO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53533-2023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45223</v>
      </c>
      <c r="E502" s="1" t="n">
        <v>46234</v>
      </c>
      <c r="F502" t="inlineStr">
        <is>
          <t>JÖNKÖPINGS LÄN</t>
        </is>
      </c>
      <c r="G502" t="inlineStr">
        <is>
          <t>VÄRNAMO</t>
        </is>
      </c>
      <c r="H502" t="inlineStr">
        <is>
          <t>Kyrkan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45224</v>
      </c>
      <c r="E503" s="1" t="n">
        <v>46234</v>
      </c>
      <c r="F503" t="inlineStr">
        <is>
          <t>JÖNKÖPINGS LÄN</t>
        </is>
      </c>
      <c r="G503" t="inlineStr">
        <is>
          <t>VÄRNAMO</t>
        </is>
      </c>
      <c r="H503" t="inlineStr">
        <is>
          <t>Övriga Aktiebolag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46234</v>
      </c>
      <c r="F504" t="inlineStr">
        <is>
          <t>JÖNKÖPINGS LÄN</t>
        </is>
      </c>
      <c r="G504" t="inlineStr">
        <is>
          <t>VÄRNAMO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44501</v>
      </c>
      <c r="E505" s="1" t="n">
        <v>46234</v>
      </c>
      <c r="F505" t="inlineStr">
        <is>
          <t>JÖNKÖPINGS LÄN</t>
        </is>
      </c>
      <c r="G505" t="inlineStr">
        <is>
          <t>VÄRNAMO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46234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2423-2025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45674</v>
      </c>
      <c r="E507" s="1" t="n">
        <v>46234</v>
      </c>
      <c r="F507" t="inlineStr">
        <is>
          <t>JÖNKÖPINGS LÄN</t>
        </is>
      </c>
      <c r="G507" t="inlineStr">
        <is>
          <t>VÄRNAMO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45674</v>
      </c>
      <c r="E508" s="1" t="n">
        <v>46234</v>
      </c>
      <c r="F508" t="inlineStr">
        <is>
          <t>JÖNKÖPINGS LÄN</t>
        </is>
      </c>
      <c r="G508" t="inlineStr">
        <is>
          <t>VÄRNAMO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46234</v>
      </c>
      <c r="F509" t="inlineStr">
        <is>
          <t>JÖNKÖPINGS LÄN</t>
        </is>
      </c>
      <c r="G509" t="inlineStr">
        <is>
          <t>VÄRNAMO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46234</v>
      </c>
      <c r="F510" t="inlineStr">
        <is>
          <t>JÖNKÖPINGS LÄN</t>
        </is>
      </c>
      <c r="G510" t="inlineStr">
        <is>
          <t>VÄRNAMO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45563</v>
      </c>
      <c r="E511" s="1" t="n">
        <v>46234</v>
      </c>
      <c r="F511" t="inlineStr">
        <is>
          <t>JÖNKÖPINGS LÄN</t>
        </is>
      </c>
      <c r="G511" t="inlineStr">
        <is>
          <t>VÄRNAMO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44587</v>
      </c>
      <c r="E512" s="1" t="n">
        <v>46234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56402-2023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45243</v>
      </c>
      <c r="E513" s="1" t="n">
        <v>46234</v>
      </c>
      <c r="F513" t="inlineStr">
        <is>
          <t>JÖNKÖPINGS LÄN</t>
        </is>
      </c>
      <c r="G513" t="inlineStr">
        <is>
          <t>VÄRNAMO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56421-2023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45243</v>
      </c>
      <c r="E514" s="1" t="n">
        <v>46234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41206-2023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45174</v>
      </c>
      <c r="E515" s="1" t="n">
        <v>46234</v>
      </c>
      <c r="F515" t="inlineStr">
        <is>
          <t>JÖNKÖPINGS LÄN</t>
        </is>
      </c>
      <c r="G515" t="inlineStr">
        <is>
          <t>VÄRNAMO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46234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74310-2021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44559</v>
      </c>
      <c r="E517" s="1" t="n">
        <v>46234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46234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63924-2023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45278</v>
      </c>
      <c r="E519" s="1" t="n">
        <v>46234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46234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46234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46193</v>
      </c>
      <c r="E522" s="1" t="n">
        <v>46234</v>
      </c>
      <c r="F522" t="inlineStr">
        <is>
          <t>JÖNKÖPINGS LÄN</t>
        </is>
      </c>
      <c r="G522" t="inlineStr">
        <is>
          <t>VÄRNAMO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46234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42575-2022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44831</v>
      </c>
      <c r="E524" s="1" t="n">
        <v>46234</v>
      </c>
      <c r="F524" t="inlineStr">
        <is>
          <t>JÖNKÖPINGS LÄN</t>
        </is>
      </c>
      <c r="G524" t="inlineStr">
        <is>
          <t>VÄRNAMO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46234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46234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46234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45200</v>
      </c>
      <c r="E528" s="1" t="n">
        <v>46234</v>
      </c>
      <c r="F528" t="inlineStr">
        <is>
          <t>JÖNKÖPINGS LÄN</t>
        </is>
      </c>
      <c r="G528" t="inlineStr">
        <is>
          <t>VÄRNAMO</t>
        </is>
      </c>
      <c r="H528" t="inlineStr">
        <is>
          <t>Övriga Aktiebolag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39965-2022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44820</v>
      </c>
      <c r="E529" s="1" t="n">
        <v>46234</v>
      </c>
      <c r="F529" t="inlineStr">
        <is>
          <t>JÖNKÖPINGS LÄN</t>
        </is>
      </c>
      <c r="G529" t="inlineStr">
        <is>
          <t>VÄRNAMO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40696-2023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45170</v>
      </c>
      <c r="E530" s="1" t="n">
        <v>46234</v>
      </c>
      <c r="F530" t="inlineStr">
        <is>
          <t>JÖNKÖPINGS LÄN</t>
        </is>
      </c>
      <c r="G530" t="inlineStr">
        <is>
          <t>VÄRNAMO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46234</v>
      </c>
      <c r="F531" t="inlineStr">
        <is>
          <t>JÖNKÖPINGS LÄN</t>
        </is>
      </c>
      <c r="G531" t="inlineStr">
        <is>
          <t>VÄRNAMO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45392</v>
      </c>
      <c r="E532" s="1" t="n">
        <v>46234</v>
      </c>
      <c r="F532" t="inlineStr">
        <is>
          <t>JÖNKÖPINGS LÄN</t>
        </is>
      </c>
      <c r="G532" t="inlineStr">
        <is>
          <t>VÄRNAMO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26986-2023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46234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11428-2024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46234</v>
      </c>
      <c r="F534" t="inlineStr">
        <is>
          <t>JÖNKÖPINGS LÄN</t>
        </is>
      </c>
      <c r="G534" t="inlineStr">
        <is>
          <t>VÄRNAMO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61108-2024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46234</v>
      </c>
      <c r="F535" t="inlineStr">
        <is>
          <t>JÖNKÖPINGS LÄN</t>
        </is>
      </c>
      <c r="G535" t="inlineStr">
        <is>
          <t>VÄRNAMO</t>
        </is>
      </c>
      <c r="I535" t="n">
        <v>13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9935-2025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45718</v>
      </c>
      <c r="E536" s="1" t="n">
        <v>46234</v>
      </c>
      <c r="F536" t="inlineStr">
        <is>
          <t>JÖNKÖPINGS LÄN</t>
        </is>
      </c>
      <c r="G536" t="inlineStr">
        <is>
          <t>VÄRNAMO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16164-2024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45406</v>
      </c>
      <c r="E537" s="1" t="n">
        <v>46234</v>
      </c>
      <c r="F537" t="inlineStr">
        <is>
          <t>JÖNKÖPINGS LÄN</t>
        </is>
      </c>
      <c r="G537" t="inlineStr">
        <is>
          <t>VÄRNAMO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63656-2023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45275</v>
      </c>
      <c r="E538" s="1" t="n">
        <v>46234</v>
      </c>
      <c r="F538" t="inlineStr">
        <is>
          <t>JÖNKÖPINGS LÄN</t>
        </is>
      </c>
      <c r="G538" t="inlineStr">
        <is>
          <t>VÄRNAMO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46234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45444-2023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45194</v>
      </c>
      <c r="E540" s="1" t="n">
        <v>46234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25102-2022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44729</v>
      </c>
      <c r="E541" s="1" t="n">
        <v>46234</v>
      </c>
      <c r="F541" t="inlineStr">
        <is>
          <t>JÖNKÖPINGS LÄN</t>
        </is>
      </c>
      <c r="G541" t="inlineStr">
        <is>
          <t>VÄRNAMO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44949</v>
      </c>
      <c r="E542" s="1" t="n">
        <v>46234</v>
      </c>
      <c r="F542" t="inlineStr">
        <is>
          <t>JÖNKÖPINGS LÄN</t>
        </is>
      </c>
      <c r="G542" t="inlineStr">
        <is>
          <t>VÄRNAMO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62573-2023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45270</v>
      </c>
      <c r="E543" s="1" t="n">
        <v>46234</v>
      </c>
      <c r="F543" t="inlineStr">
        <is>
          <t>JÖNKÖPINGS LÄN</t>
        </is>
      </c>
      <c r="G543" t="inlineStr">
        <is>
          <t>VÄRNAMO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46160</v>
      </c>
      <c r="E544" s="1" t="n">
        <v>46234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56272-2022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44890</v>
      </c>
      <c r="E545" s="1" t="n">
        <v>46234</v>
      </c>
      <c r="F545" t="inlineStr">
        <is>
          <t>JÖNKÖPINGS LÄN</t>
        </is>
      </c>
      <c r="G545" t="inlineStr">
        <is>
          <t>VÄRNAMO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29166-2023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46234</v>
      </c>
      <c r="F546" t="inlineStr">
        <is>
          <t>JÖNKÖPINGS LÄN</t>
        </is>
      </c>
      <c r="G546" t="inlineStr">
        <is>
          <t>VÄRNAMO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45674</v>
      </c>
      <c r="E547" s="1" t="n">
        <v>46234</v>
      </c>
      <c r="F547" t="inlineStr">
        <is>
          <t>JÖNKÖPINGS LÄN</t>
        </is>
      </c>
      <c r="G547" t="inlineStr">
        <is>
          <t>VÄRNAMO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45009</v>
      </c>
      <c r="E548" s="1" t="n">
        <v>46234</v>
      </c>
      <c r="F548" t="inlineStr">
        <is>
          <t>JÖNKÖPINGS LÄN</t>
        </is>
      </c>
      <c r="G548" t="inlineStr">
        <is>
          <t>VÄRNAMO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45688</v>
      </c>
      <c r="E549" s="1" t="n">
        <v>46234</v>
      </c>
      <c r="F549" t="inlineStr">
        <is>
          <t>JÖNKÖPINGS LÄN</t>
        </is>
      </c>
      <c r="G549" t="inlineStr">
        <is>
          <t>VÄRNAMO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40226-2024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45554</v>
      </c>
      <c r="E550" s="1" t="n">
        <v>46234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46234</v>
      </c>
      <c r="F551" t="inlineStr">
        <is>
          <t>JÖNKÖPINGS LÄN</t>
        </is>
      </c>
      <c r="G551" t="inlineStr">
        <is>
          <t>VÄRNAMO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44230-2023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46234</v>
      </c>
      <c r="F552" t="inlineStr">
        <is>
          <t>JÖNKÖPINGS LÄN</t>
        </is>
      </c>
      <c r="G552" t="inlineStr">
        <is>
          <t>VÄRNAMO</t>
        </is>
      </c>
      <c r="I552" t="n">
        <v>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46234</v>
      </c>
      <c r="F553" t="inlineStr">
        <is>
          <t>JÖNKÖPINGS LÄN</t>
        </is>
      </c>
      <c r="G553" t="inlineStr">
        <is>
          <t>VÄRNAMO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46234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57373-2023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46234</v>
      </c>
      <c r="F555" t="inlineStr">
        <is>
          <t>JÖNKÖPINGS LÄN</t>
        </is>
      </c>
      <c r="G555" t="inlineStr">
        <is>
          <t>VÄRNAMO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44949</v>
      </c>
      <c r="E556" s="1" t="n">
        <v>46234</v>
      </c>
      <c r="F556" t="inlineStr">
        <is>
          <t>JÖNKÖPINGS LÄN</t>
        </is>
      </c>
      <c r="G556" t="inlineStr">
        <is>
          <t>VÄRNAMO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56415-2023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45243</v>
      </c>
      <c r="E557" s="1" t="n">
        <v>46234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46234</v>
      </c>
      <c r="F558" t="inlineStr">
        <is>
          <t>JÖNKÖPINGS LÄN</t>
        </is>
      </c>
      <c r="G558" t="inlineStr">
        <is>
          <t>VÄRNAMO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46234</v>
      </c>
      <c r="F559" t="inlineStr">
        <is>
          <t>JÖNKÖPINGS LÄN</t>
        </is>
      </c>
      <c r="G559" t="inlineStr">
        <is>
          <t>VÄRNAMO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74026-2021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44553</v>
      </c>
      <c r="E560" s="1" t="n">
        <v>46234</v>
      </c>
      <c r="F560" t="inlineStr">
        <is>
          <t>JÖNKÖPINGS LÄN</t>
        </is>
      </c>
      <c r="G560" t="inlineStr">
        <is>
          <t>VÄRNAMO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74027-2021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44553</v>
      </c>
      <c r="E561" s="1" t="n">
        <v>46234</v>
      </c>
      <c r="F561" t="inlineStr">
        <is>
          <t>JÖNKÖPINGS LÄN</t>
        </is>
      </c>
      <c r="G561" t="inlineStr">
        <is>
          <t>VÄRNAMO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45701</v>
      </c>
      <c r="E562" s="1" t="n">
        <v>46234</v>
      </c>
      <c r="F562" t="inlineStr">
        <is>
          <t>JÖNKÖPINGS LÄN</t>
        </is>
      </c>
      <c r="G562" t="inlineStr">
        <is>
          <t>VÄRNAMO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46234</v>
      </c>
      <c r="F563" t="inlineStr">
        <is>
          <t>JÖNKÖPINGS LÄN</t>
        </is>
      </c>
      <c r="G563" t="inlineStr">
        <is>
          <t>VÄRNAMO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14240-2024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45393</v>
      </c>
      <c r="E564" s="1" t="n">
        <v>46234</v>
      </c>
      <c r="F564" t="inlineStr">
        <is>
          <t>JÖNKÖPINGS LÄN</t>
        </is>
      </c>
      <c r="G564" t="inlineStr">
        <is>
          <t>VÄRNAMO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45713</v>
      </c>
      <c r="E565" s="1" t="n">
        <v>46234</v>
      </c>
      <c r="F565" t="inlineStr">
        <is>
          <t>JÖNKÖPINGS LÄN</t>
        </is>
      </c>
      <c r="G565" t="inlineStr">
        <is>
          <t>VÄRNAMO</t>
        </is>
      </c>
      <c r="H565" t="inlineStr">
        <is>
          <t>Sveaskog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46234</v>
      </c>
      <c r="F566" t="inlineStr">
        <is>
          <t>JÖNKÖPINGS LÄN</t>
        </is>
      </c>
      <c r="G566" t="inlineStr">
        <is>
          <t>VÄRNAMO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41316-2023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45173</v>
      </c>
      <c r="E567" s="1" t="n">
        <v>46234</v>
      </c>
      <c r="F567" t="inlineStr">
        <is>
          <t>JÖNKÖPINGS LÄN</t>
        </is>
      </c>
      <c r="G567" t="inlineStr">
        <is>
          <t>VÄRNAMO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23951-2026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46234</v>
      </c>
      <c r="F568" t="inlineStr">
        <is>
          <t>JÖNKÖPINGS LÄN</t>
        </is>
      </c>
      <c r="G568" t="inlineStr">
        <is>
          <t>VÄRNAMO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45343</v>
      </c>
      <c r="E569" s="1" t="n">
        <v>46234</v>
      </c>
      <c r="F569" t="inlineStr">
        <is>
          <t>JÖNKÖPINGS LÄN</t>
        </is>
      </c>
      <c r="G569" t="inlineStr">
        <is>
          <t>VÄRNAMO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45343</v>
      </c>
      <c r="E570" s="1" t="n">
        <v>46234</v>
      </c>
      <c r="F570" t="inlineStr">
        <is>
          <t>JÖNKÖPINGS LÄN</t>
        </is>
      </c>
      <c r="G570" t="inlineStr">
        <is>
          <t>VÄRNAMO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46234</v>
      </c>
      <c r="F571" t="inlineStr">
        <is>
          <t>JÖNKÖPINGS LÄN</t>
        </is>
      </c>
      <c r="G571" t="inlineStr">
        <is>
          <t>VÄRNAMO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46234</v>
      </c>
      <c r="F572" t="inlineStr">
        <is>
          <t>JÖNKÖPINGS LÄN</t>
        </is>
      </c>
      <c r="G572" t="inlineStr">
        <is>
          <t>VÄRNAMO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46234</v>
      </c>
      <c r="F573" t="inlineStr">
        <is>
          <t>JÖNKÖPINGS LÄN</t>
        </is>
      </c>
      <c r="G573" t="inlineStr">
        <is>
          <t>VÄRNAMO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39656-2023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45167</v>
      </c>
      <c r="E574" s="1" t="n">
        <v>46234</v>
      </c>
      <c r="F574" t="inlineStr">
        <is>
          <t>JÖNKÖPINGS LÄN</t>
        </is>
      </c>
      <c r="G574" t="inlineStr">
        <is>
          <t>VÄRNAMO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24028-2026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46234</v>
      </c>
      <c r="F575" t="inlineStr">
        <is>
          <t>JÖNKÖPINGS LÄN</t>
        </is>
      </c>
      <c r="G575" t="inlineStr">
        <is>
          <t>VÄRNAMO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42830-2024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45566</v>
      </c>
      <c r="E576" s="1" t="n">
        <v>46234</v>
      </c>
      <c r="F576" t="inlineStr">
        <is>
          <t>JÖNKÖPINGS LÄN</t>
        </is>
      </c>
      <c r="G576" t="inlineStr">
        <is>
          <t>VÄRNAMO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44805</v>
      </c>
      <c r="E577" s="1" t="n">
        <v>46234</v>
      </c>
      <c r="F577" t="inlineStr">
        <is>
          <t>JÖNKÖPINGS LÄN</t>
        </is>
      </c>
      <c r="G577" t="inlineStr">
        <is>
          <t>VÄRNAMO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20199-2022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44698</v>
      </c>
      <c r="E578" s="1" t="n">
        <v>46234</v>
      </c>
      <c r="F578" t="inlineStr">
        <is>
          <t>JÖNKÖPINGS LÄN</t>
        </is>
      </c>
      <c r="G578" t="inlineStr">
        <is>
          <t>VÄRNAMO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46234</v>
      </c>
      <c r="F579" t="inlineStr">
        <is>
          <t>JÖNKÖPINGS LÄN</t>
        </is>
      </c>
      <c r="G579" t="inlineStr">
        <is>
          <t>VÄRNAMO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46234</v>
      </c>
      <c r="F580" t="inlineStr">
        <is>
          <t>JÖNKÖPINGS LÄN</t>
        </is>
      </c>
      <c r="G580" t="inlineStr">
        <is>
          <t>VÄRNAMO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45972</v>
      </c>
      <c r="E581" s="1" t="n">
        <v>46234</v>
      </c>
      <c r="F581" t="inlineStr">
        <is>
          <t>JÖNKÖPINGS LÄN</t>
        </is>
      </c>
      <c r="G581" t="inlineStr">
        <is>
          <t>VÄRNAMO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44936</v>
      </c>
      <c r="E582" s="1" t="n">
        <v>46234</v>
      </c>
      <c r="F582" t="inlineStr">
        <is>
          <t>JÖNKÖPINGS LÄN</t>
        </is>
      </c>
      <c r="G582" t="inlineStr">
        <is>
          <t>VÄRNAMO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18890-2023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45044</v>
      </c>
      <c r="E583" s="1" t="n">
        <v>46234</v>
      </c>
      <c r="F583" t="inlineStr">
        <is>
          <t>JÖNKÖPINGS LÄN</t>
        </is>
      </c>
      <c r="G583" t="inlineStr">
        <is>
          <t>VÄRNAMO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46172</v>
      </c>
      <c r="E584" s="1" t="n">
        <v>46234</v>
      </c>
      <c r="F584" t="inlineStr">
        <is>
          <t>JÖNKÖPINGS LÄN</t>
        </is>
      </c>
      <c r="G584" t="inlineStr">
        <is>
          <t>VÄRNAMO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64002-2023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45278</v>
      </c>
      <c r="E585" s="1" t="n">
        <v>46234</v>
      </c>
      <c r="F585" t="inlineStr">
        <is>
          <t>JÖNKÖPINGS LÄN</t>
        </is>
      </c>
      <c r="G585" t="inlineStr">
        <is>
          <t>VÄRNAMO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15105-2026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46101</v>
      </c>
      <c r="E586" s="1" t="n">
        <v>46234</v>
      </c>
      <c r="F586" t="inlineStr">
        <is>
          <t>JÖNKÖPINGS LÄN</t>
        </is>
      </c>
      <c r="G586" t="inlineStr">
        <is>
          <t>VÄRNAMO</t>
        </is>
      </c>
      <c r="I586" t="n">
        <v>58.2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50550-2025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45945</v>
      </c>
      <c r="E587" s="1" t="n">
        <v>46234</v>
      </c>
      <c r="F587" t="inlineStr">
        <is>
          <t>JÖNKÖPINGS LÄN</t>
        </is>
      </c>
      <c r="G587" t="inlineStr">
        <is>
          <t>VÄRNAMO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51754-2024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45607</v>
      </c>
      <c r="E588" s="1" t="n">
        <v>46234</v>
      </c>
      <c r="F588" t="inlineStr">
        <is>
          <t>JÖNKÖPINGS LÄN</t>
        </is>
      </c>
      <c r="G588" t="inlineStr">
        <is>
          <t>VÄRNAMO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64048-2023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45279</v>
      </c>
      <c r="E589" s="1" t="n">
        <v>46234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20481-2022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44699</v>
      </c>
      <c r="E590" s="1" t="n">
        <v>46234</v>
      </c>
      <c r="F590" t="inlineStr">
        <is>
          <t>JÖNKÖPINGS LÄN</t>
        </is>
      </c>
      <c r="G590" t="inlineStr">
        <is>
          <t>VÄRNAMO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46468-2023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46234</v>
      </c>
      <c r="F591" t="inlineStr">
        <is>
          <t>JÖNKÖPINGS LÄN</t>
        </is>
      </c>
      <c r="G591" t="inlineStr">
        <is>
          <t>VÄRNAMO</t>
        </is>
      </c>
      <c r="I591" t="n">
        <v>6.9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46471-2023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46234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46234</v>
      </c>
      <c r="F593" t="inlineStr">
        <is>
          <t>JÖNKÖPINGS LÄN</t>
        </is>
      </c>
      <c r="G593" t="inlineStr">
        <is>
          <t>VÄRNAMO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46234</v>
      </c>
      <c r="F594" t="inlineStr">
        <is>
          <t>JÖNKÖPINGS LÄN</t>
        </is>
      </c>
      <c r="G594" t="inlineStr">
        <is>
          <t>VÄRNAMO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46234</v>
      </c>
      <c r="F595" t="inlineStr">
        <is>
          <t>JÖNKÖPINGS LÄN</t>
        </is>
      </c>
      <c r="G595" t="inlineStr">
        <is>
          <t>VÄRNAMO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62798-2023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45271</v>
      </c>
      <c r="E596" s="1" t="n">
        <v>46234</v>
      </c>
      <c r="F596" t="inlineStr">
        <is>
          <t>JÖNKÖPINGS LÄN</t>
        </is>
      </c>
      <c r="G596" t="inlineStr">
        <is>
          <t>VÄRNAMO</t>
        </is>
      </c>
      <c r="H596" t="inlineStr">
        <is>
          <t>Kommuner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61608-2023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45265</v>
      </c>
      <c r="E597" s="1" t="n">
        <v>46234</v>
      </c>
      <c r="F597" t="inlineStr">
        <is>
          <t>JÖNKÖPINGS LÄN</t>
        </is>
      </c>
      <c r="G597" t="inlineStr">
        <is>
          <t>VÄRNAMO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46234</v>
      </c>
      <c r="F598" t="inlineStr">
        <is>
          <t>JÖNKÖPINGS LÄN</t>
        </is>
      </c>
      <c r="G598" t="inlineStr">
        <is>
          <t>VÄRNAMO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44998</v>
      </c>
      <c r="E599" s="1" t="n">
        <v>46234</v>
      </c>
      <c r="F599" t="inlineStr">
        <is>
          <t>JÖNKÖPINGS LÄN</t>
        </is>
      </c>
      <c r="G599" t="inlineStr">
        <is>
          <t>VÄRNAMO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46234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46234</v>
      </c>
      <c r="F601" t="inlineStr">
        <is>
          <t>JÖNKÖPINGS LÄN</t>
        </is>
      </c>
      <c r="G601" t="inlineStr">
        <is>
          <t>VÄRNAMO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46234</v>
      </c>
      <c r="F602" t="inlineStr">
        <is>
          <t>JÖNKÖPINGS LÄN</t>
        </is>
      </c>
      <c r="G602" t="inlineStr">
        <is>
          <t>VÄRNAMO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46234</v>
      </c>
      <c r="F603" t="inlineStr">
        <is>
          <t>JÖNKÖPINGS LÄN</t>
        </is>
      </c>
      <c r="G603" t="inlineStr">
        <is>
          <t>VÄRNAMO</t>
        </is>
      </c>
      <c r="H603" t="inlineStr">
        <is>
          <t>Kommuner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27153-2026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46188</v>
      </c>
      <c r="E604" s="1" t="n">
        <v>46234</v>
      </c>
      <c r="F604" t="inlineStr">
        <is>
          <t>JÖNKÖPINGS LÄN</t>
        </is>
      </c>
      <c r="G604" t="inlineStr">
        <is>
          <t>VÄRNAMO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27154-2026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46188</v>
      </c>
      <c r="E605" s="1" t="n">
        <v>46234</v>
      </c>
      <c r="F605" t="inlineStr">
        <is>
          <t>JÖNKÖPINGS LÄN</t>
        </is>
      </c>
      <c r="G605" t="inlineStr">
        <is>
          <t>VÄRNAMO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46234</v>
      </c>
      <c r="F606" t="inlineStr">
        <is>
          <t>JÖNKÖPINGS LÄN</t>
        </is>
      </c>
      <c r="G606" t="inlineStr">
        <is>
          <t>VÄRNAMO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46234</v>
      </c>
      <c r="F607" t="inlineStr">
        <is>
          <t>JÖNKÖPINGS LÄN</t>
        </is>
      </c>
      <c r="G607" t="inlineStr">
        <is>
          <t>VÄRNAMO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46188</v>
      </c>
      <c r="E608" s="1" t="n">
        <v>46234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46230</v>
      </c>
      <c r="E609" s="1" t="n">
        <v>46234</v>
      </c>
      <c r="F609" t="inlineStr">
        <is>
          <t>JÖNKÖPINGS LÄN</t>
        </is>
      </c>
      <c r="G609" t="inlineStr">
        <is>
          <t>VÄRNAMO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31796-2026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46230</v>
      </c>
      <c r="E610" s="1" t="n">
        <v>46234</v>
      </c>
      <c r="F610" t="inlineStr">
        <is>
          <t>JÖNKÖPINGS LÄN</t>
        </is>
      </c>
      <c r="G610" t="inlineStr">
        <is>
          <t>VÄRNAMO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31811-2026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46230</v>
      </c>
      <c r="E611" s="1" t="n">
        <v>46234</v>
      </c>
      <c r="F611" t="inlineStr">
        <is>
          <t>JÖNKÖPINGS LÄN</t>
        </is>
      </c>
      <c r="G611" t="inlineStr">
        <is>
          <t>VÄRNAMO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46191</v>
      </c>
      <c r="E612" s="1" t="n">
        <v>46234</v>
      </c>
      <c r="F612" t="inlineStr">
        <is>
          <t>JÖNKÖPINGS LÄN</t>
        </is>
      </c>
      <c r="G612" t="inlineStr">
        <is>
          <t>VÄRNAMO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46191</v>
      </c>
      <c r="E613" s="1" t="n">
        <v>46234</v>
      </c>
      <c r="F613" t="inlineStr">
        <is>
          <t>JÖNKÖPINGS LÄN</t>
        </is>
      </c>
      <c r="G613" t="inlineStr">
        <is>
          <t>VÄRNAMO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27802-2026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46234</v>
      </c>
      <c r="F614" t="inlineStr">
        <is>
          <t>JÖNKÖPINGS LÄN</t>
        </is>
      </c>
      <c r="G614" t="inlineStr">
        <is>
          <t>VÄRNAMO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27508-2026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46189</v>
      </c>
      <c r="E615" s="1" t="n">
        <v>46234</v>
      </c>
      <c r="F615" t="inlineStr">
        <is>
          <t>JÖNKÖPINGS LÄN</t>
        </is>
      </c>
      <c r="G615" t="inlineStr">
        <is>
          <t>VÄRNAMO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46234</v>
      </c>
      <c r="F616" t="inlineStr">
        <is>
          <t>JÖNKÖPINGS LÄN</t>
        </is>
      </c>
      <c r="G616" t="inlineStr">
        <is>
          <t>VÄRNAMO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46191</v>
      </c>
      <c r="E617" s="1" t="n">
        <v>46234</v>
      </c>
      <c r="F617" t="inlineStr">
        <is>
          <t>JÖNKÖPINGS LÄN</t>
        </is>
      </c>
      <c r="G617" t="inlineStr">
        <is>
          <t>VÄRNAMO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46234</v>
      </c>
      <c r="F618" t="inlineStr">
        <is>
          <t>JÖNKÖPINGS LÄN</t>
        </is>
      </c>
      <c r="G618" t="inlineStr">
        <is>
          <t>VÄRNAMO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27692-2026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46234</v>
      </c>
      <c r="F619" t="inlineStr">
        <is>
          <t>JÖNKÖPINGS LÄN</t>
        </is>
      </c>
      <c r="G619" t="inlineStr">
        <is>
          <t>VÄRNAMO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46191</v>
      </c>
      <c r="E620" s="1" t="n">
        <v>46234</v>
      </c>
      <c r="F620" t="inlineStr">
        <is>
          <t>JÖNKÖPINGS LÄN</t>
        </is>
      </c>
      <c r="G620" t="inlineStr">
        <is>
          <t>VÄRNAMO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46234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46234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46234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46234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46234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46234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46234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46234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46234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46234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46234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46234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46234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46234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46234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46234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46234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46234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46234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46234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46234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2026-07-31T01:55:02Z</dcterms:created>
  <dcterms:modified xmlns:dcterms="http://purl.org/dc/terms/" xmlns:xsi="http://www.w3.org/2001/XMLSchema-instance" xsi:type="dcterms:W3CDTF">2026-07-31T01:55:03Z</dcterms:modified>
</cp:coreProperties>
</file>