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46236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46236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46236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29356-2024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45483</v>
      </c>
      <c r="E8" s="1" t="n">
        <v>46236</v>
      </c>
      <c r="F8" t="inlineStr">
        <is>
          <t>JÖNKÖPINGS LÄN</t>
        </is>
      </c>
      <c r="G8" t="inlineStr">
        <is>
          <t>VÄRNAMO</t>
        </is>
      </c>
      <c r="I8" t="n">
        <v>4.1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Skaftslamkrypa
Grönpyrola
Vätteros</t>
        </is>
      </c>
      <c r="W8">
        <f>HYPERLINK("https://klasma.github.io/Logging_0683/artfynd/A 29356-2024 artfynd.xlsx", "A 29356-2024")</f>
        <v/>
      </c>
      <c r="X8">
        <f>HYPERLINK("https://klasma.github.io/Logging_0683/kartor/A 29356-2024 karta.png", "A 29356-2024")</f>
        <v/>
      </c>
      <c r="Y8">
        <f>HYPERLINK("https://klasma.github.io/Logging_0683/kartor_geotiff/A 29356-2024 georefererad karta.tif", "A 29356-2024")</f>
        <v/>
      </c>
      <c r="AA8">
        <f>HYPERLINK("https://klasma.github.io/Logging_0683/klagomål/A 29356-2024 FSC-klagomål.docx", "A 29356-2024")</f>
        <v/>
      </c>
      <c r="AB8">
        <f>HYPERLINK("https://klasma.github.io/Logging_0683/klagomålsmail/A 29356-2024 FSC-klagomål mail.docx", "A 29356-2024")</f>
        <v/>
      </c>
      <c r="AC8">
        <f>HYPERLINK("https://klasma.github.io/Logging_0683/tillsyn/A 29356-2024 tillsynsbegäran.docx", "A 29356-2024")</f>
        <v/>
      </c>
      <c r="AD8">
        <f>HYPERLINK("https://klasma.github.io/Logging_0683/tillsynsmail/A 29356-2024 tillsynsbegäran mail.docx", "A 29356-2024")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46236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46236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46236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46236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46236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46236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46236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46236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46236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46236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46236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28002-2026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46236</v>
      </c>
      <c r="F23" t="inlineStr">
        <is>
          <t>JÖNKÖPINGS LÄN</t>
        </is>
      </c>
      <c r="G23" t="inlineStr">
        <is>
          <t>VÄRNAMO</t>
        </is>
      </c>
      <c r="H23" t="inlineStr">
        <is>
          <t>Sveaskog</t>
        </is>
      </c>
      <c r="I23" t="n">
        <v>26.9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Rostfläck</t>
        </is>
      </c>
      <c r="W23">
        <f>HYPERLINK("https://klasma.github.io/Logging_0683/artfynd/A 28002-2026 artfynd.xlsx", "A 28002-2026")</f>
        <v/>
      </c>
      <c r="X23">
        <f>HYPERLINK("https://klasma.github.io/Logging_0683/kartor/A 28002-2026 karta.png", "A 28002-2026")</f>
        <v/>
      </c>
      <c r="Y23">
        <f>HYPERLINK("https://klasma.github.io/Logging_0683/kartor_geotiff/A 28002-2026 georefererad karta.tif", "A 28002-2026")</f>
        <v/>
      </c>
      <c r="AA23">
        <f>HYPERLINK("https://klasma.github.io/Logging_0683/klagomål/A 28002-2026 FSC-klagomål.docx", "A 28002-2026")</f>
        <v/>
      </c>
      <c r="AB23">
        <f>HYPERLINK("https://klasma.github.io/Logging_0683/klagomålsmail/A 28002-2026 FSC-klagomål mail.docx", "A 28002-2026")</f>
        <v/>
      </c>
      <c r="AC23">
        <f>HYPERLINK("https://klasma.github.io/Logging_0683/tillsyn/A 28002-2026 tillsynsbegäran.docx", "A 28002-2026")</f>
        <v/>
      </c>
      <c r="AD23">
        <f>HYPERLINK("https://klasma.github.io/Logging_0683/tillsynsmail/A 28002-2026 tillsynsbegäran mail.docx", "A 28002-2026")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46236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23920-2026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46236</v>
      </c>
      <c r="F25" t="inlineStr">
        <is>
          <t>JÖNKÖPINGS LÄN</t>
        </is>
      </c>
      <c r="G25" t="inlineStr">
        <is>
          <t>VÄRNAMO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Brandticka</t>
        </is>
      </c>
      <c r="W25">
        <f>HYPERLINK("https://klasma.github.io/Logging_0683/artfynd/A 23920-2026 artfynd.xlsx", "A 23920-2026")</f>
        <v/>
      </c>
      <c r="X25">
        <f>HYPERLINK("https://klasma.github.io/Logging_0683/kartor/A 23920-2026 karta.png", "A 23920-2026")</f>
        <v/>
      </c>
      <c r="Y25">
        <f>HYPERLINK("https://klasma.github.io/Logging_0683/kartor_geotiff/A 23920-2026 georefererad karta.tif", "A 23920-2026")</f>
        <v/>
      </c>
      <c r="AA25">
        <f>HYPERLINK("https://klasma.github.io/Logging_0683/klagomål/A 23920-2026 FSC-klagomål.docx", "A 23920-2026")</f>
        <v/>
      </c>
      <c r="AB25">
        <f>HYPERLINK("https://klasma.github.io/Logging_0683/klagomålsmail/A 23920-2026 FSC-klagomål mail.docx", "A 23920-2026")</f>
        <v/>
      </c>
      <c r="AC25">
        <f>HYPERLINK("https://klasma.github.io/Logging_0683/tillsyn/A 23920-2026 tillsynsbegäran.docx", "A 23920-2026")</f>
        <v/>
      </c>
      <c r="AD25">
        <f>HYPERLINK("https://klasma.github.io/Logging_0683/tillsynsmail/A 23920-2026 tillsynsbegäran mail.docx", "A 23920-2026")</f>
        <v/>
      </c>
    </row>
    <row r="26" ht="15" customHeight="1">
      <c r="A26" t="inlineStr">
        <is>
          <t>A 19078-2025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45766</v>
      </c>
      <c r="E26" s="1" t="n">
        <v>46236</v>
      </c>
      <c r="F26" t="inlineStr">
        <is>
          <t>JÖNKÖPINGS LÄN</t>
        </is>
      </c>
      <c r="G26" t="inlineStr">
        <is>
          <t>VÄRNAMO</t>
        </is>
      </c>
      <c r="I26" t="n">
        <v>6.4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HYPERLINK("https://klasma.github.io/Logging_0683/artfynd/A 19078-2025 artfynd.xlsx", "A 19078-2025")</f>
        <v/>
      </c>
      <c r="X26">
        <f>HYPERLINK("https://klasma.github.io/Logging_0683/kartor/A 19078-2025 karta.png", "A 19078-2025")</f>
        <v/>
      </c>
      <c r="Y26">
        <f>HYPERLINK("https://klasma.github.io/Logging_0683/kartor_geotiff/A 19078-2025 georefererad karta.tif", "A 19078-2025")</f>
        <v/>
      </c>
      <c r="Z26">
        <f>HYPERLINK("https://klasma.github.io/Logging_0683/knärot/A 19078-2025 karta knärot.png", "A 19078-2025")</f>
        <v/>
      </c>
      <c r="AA26">
        <f>HYPERLINK("https://klasma.github.io/Logging_0683/klagomål/A 19078-2025 FSC-klagomål.docx", "A 19078-2025")</f>
        <v/>
      </c>
      <c r="AB26">
        <f>HYPERLINK("https://klasma.github.io/Logging_0683/klagomålsmail/A 19078-2025 FSC-klagomål mail.docx", "A 19078-2025")</f>
        <v/>
      </c>
      <c r="AC26">
        <f>HYPERLINK("https://klasma.github.io/Logging_0683/tillsyn/A 19078-2025 tillsynsbegäran.docx", "A 19078-2025")</f>
        <v/>
      </c>
      <c r="AD26">
        <f>HYPERLINK("https://klasma.github.io/Logging_0683/tillsynsmail/A 19078-2025 tillsynsbegäran mail.docx", "A 19078-2025")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46236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37198-2024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45539</v>
      </c>
      <c r="E28" s="1" t="n">
        <v>46236</v>
      </c>
      <c r="F28" t="inlineStr">
        <is>
          <t>JÖNKÖPINGS LÄN</t>
        </is>
      </c>
      <c r="G28" t="inlineStr">
        <is>
          <t>VÄRNAMO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HYPERLINK("https://klasma.github.io/Logging_0683/artfynd/A 37198-2024 artfynd.xlsx", "A 37198-2024")</f>
        <v/>
      </c>
      <c r="X28">
        <f>HYPERLINK("https://klasma.github.io/Logging_0683/kartor/A 37198-2024 karta.png", "A 37198-2024")</f>
        <v/>
      </c>
      <c r="Y28">
        <f>HYPERLINK("https://klasma.github.io/Logging_0683/kartor_geotiff/A 37198-2024 georefererad karta.tif", "A 37198-2024")</f>
        <v/>
      </c>
      <c r="AA28">
        <f>HYPERLINK("https://klasma.github.io/Logging_0683/klagomål/A 37198-2024 FSC-klagomål.docx", "A 37198-2024")</f>
        <v/>
      </c>
      <c r="AB28">
        <f>HYPERLINK("https://klasma.github.io/Logging_0683/klagomålsmail/A 37198-2024 FSC-klagomål mail.docx", "A 37198-2024")</f>
        <v/>
      </c>
      <c r="AC28">
        <f>HYPERLINK("https://klasma.github.io/Logging_0683/tillsyn/A 37198-2024 tillsynsbegäran.docx", "A 37198-2024")</f>
        <v/>
      </c>
      <c r="AD28">
        <f>HYPERLINK("https://klasma.github.io/Logging_0683/tillsynsmail/A 37198-2024 tillsynsbegäran mail.docx", "A 37198-2024")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46236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HYPERLINK("https://klasma.github.io/Logging_0683/artfynd/A 9986-2023 artfynd.xlsx", "A 9986-2023")</f>
        <v/>
      </c>
      <c r="X29">
        <f>HYPERLINK("https://klasma.github.io/Logging_0683/kartor/A 9986-2023 karta.png", "A 9986-2023")</f>
        <v/>
      </c>
      <c r="Y29">
        <f>HYPERLINK("https://klasma.github.io/Logging_0683/kartor_geotiff/A 9986-2023 georefererad karta.tif", "A 9986-2023")</f>
        <v/>
      </c>
      <c r="AA29">
        <f>HYPERLINK("https://klasma.github.io/Logging_0683/klagomål/A 9986-2023 FSC-klagomål.docx", "A 9986-2023")</f>
        <v/>
      </c>
      <c r="AB29">
        <f>HYPERLINK("https://klasma.github.io/Logging_0683/klagomålsmail/A 9986-2023 FSC-klagomål mail.docx", "A 9986-2023")</f>
        <v/>
      </c>
      <c r="AC29">
        <f>HYPERLINK("https://klasma.github.io/Logging_0683/tillsyn/A 9986-2023 tillsynsbegäran.docx", "A 9986-2023")</f>
        <v/>
      </c>
      <c r="AD29">
        <f>HYPERLINK("https://klasma.github.io/Logging_0683/tillsynsmail/A 9986-2023 tillsynsbegäran mail.docx", "A 9986-2023")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46236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46236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46236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9042-2025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46236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Lönnsavblomfluga</t>
        </is>
      </c>
      <c r="W33">
        <f>HYPERLINK("https://klasma.github.io/Logging_0683/artfynd/A 9042-2025 artfynd.xlsx", "A 9042-2025")</f>
        <v/>
      </c>
      <c r="X33">
        <f>HYPERLINK("https://klasma.github.io/Logging_0683/kartor/A 9042-2025 karta.png", "A 9042-2025")</f>
        <v/>
      </c>
      <c r="Y33">
        <f>HYPERLINK("https://klasma.github.io/Logging_0683/kartor_geotiff/A 9042-2025 georefererad karta.tif", "A 9042-2025")</f>
        <v/>
      </c>
      <c r="AA33">
        <f>HYPERLINK("https://klasma.github.io/Logging_0683/klagomål/A 9042-2025 FSC-klagomål.docx", "A 9042-2025")</f>
        <v/>
      </c>
      <c r="AB33">
        <f>HYPERLINK("https://klasma.github.io/Logging_0683/klagomålsmail/A 9042-2025 FSC-klagomål mail.docx", "A 9042-2025")</f>
        <v/>
      </c>
      <c r="AC33">
        <f>HYPERLINK("https://klasma.github.io/Logging_0683/tillsyn/A 9042-2025 tillsynsbegäran.docx", "A 9042-2025")</f>
        <v/>
      </c>
      <c r="AD33">
        <f>HYPERLINK("https://klasma.github.io/Logging_0683/tillsynsmail/A 9042-2025 tillsynsbegäran mail.docx", "A 9042-2025")</f>
        <v/>
      </c>
    </row>
    <row r="34" ht="15" customHeight="1">
      <c r="A34" t="inlineStr">
        <is>
          <t>A 61264-2023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46236</v>
      </c>
      <c r="F34" t="inlineStr">
        <is>
          <t>JÖNKÖPINGS LÄN</t>
        </is>
      </c>
      <c r="G34" t="inlineStr">
        <is>
          <t>VÄRNAMO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HYPERLINK("https://klasma.github.io/Logging_0683/artfynd/A 61264-2023 artfynd.xlsx", "A 61264-2023")</f>
        <v/>
      </c>
      <c r="X34">
        <f>HYPERLINK("https://klasma.github.io/Logging_0683/kartor/A 61264-2023 karta.png", "A 61264-2023")</f>
        <v/>
      </c>
      <c r="Y34">
        <f>HYPERLINK("https://klasma.github.io/Logging_0683/kartor_geotiff/A 61264-2023 georefererad karta.tif", "A 61264-2023")</f>
        <v/>
      </c>
      <c r="AA34">
        <f>HYPERLINK("https://klasma.github.io/Logging_0683/klagomål/A 61264-2023 FSC-klagomål.docx", "A 61264-2023")</f>
        <v/>
      </c>
      <c r="AB34">
        <f>HYPERLINK("https://klasma.github.io/Logging_0683/klagomålsmail/A 61264-2023 FSC-klagomål mail.docx", "A 61264-2023")</f>
        <v/>
      </c>
      <c r="AC34">
        <f>HYPERLINK("https://klasma.github.io/Logging_0683/tillsyn/A 61264-2023 tillsynsbegäran.docx", "A 61264-2023")</f>
        <v/>
      </c>
      <c r="AD34">
        <f>HYPERLINK("https://klasma.github.io/Logging_0683/tillsynsmail/A 61264-2023 tillsynsbegäran mail.docx", "A 61264-2023")</f>
        <v/>
      </c>
    </row>
    <row r="35" ht="15" customHeight="1">
      <c r="A35" t="inlineStr">
        <is>
          <t>A 48887-2023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45209</v>
      </c>
      <c r="E35" s="1" t="n">
        <v>46236</v>
      </c>
      <c r="F35" t="inlineStr">
        <is>
          <t>JÖNKÖPINGS LÄN</t>
        </is>
      </c>
      <c r="G35" t="inlineStr">
        <is>
          <t>VÄRNAMO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HYPERLINK("https://klasma.github.io/Logging_0683/artfynd/A 48887-2023 artfynd.xlsx", "A 48887-2023")</f>
        <v/>
      </c>
      <c r="X35">
        <f>HYPERLINK("https://klasma.github.io/Logging_0683/kartor/A 48887-2023 karta.png", "A 48887-2023")</f>
        <v/>
      </c>
      <c r="Y35">
        <f>HYPERLINK("https://klasma.github.io/Logging_0683/kartor_geotiff/A 48887-2023 georefererad karta.tif", "A 48887-2023")</f>
        <v/>
      </c>
      <c r="AA35">
        <f>HYPERLINK("https://klasma.github.io/Logging_0683/klagomål/A 48887-2023 FSC-klagomål.docx", "A 48887-2023")</f>
        <v/>
      </c>
      <c r="AB35">
        <f>HYPERLINK("https://klasma.github.io/Logging_0683/klagomålsmail/A 48887-2023 FSC-klagomål mail.docx", "A 48887-2023")</f>
        <v/>
      </c>
      <c r="AC35">
        <f>HYPERLINK("https://klasma.github.io/Logging_0683/tillsyn/A 48887-2023 tillsynsbegäran.docx", "A 48887-2023")</f>
        <v/>
      </c>
      <c r="AD35">
        <f>HYPERLINK("https://klasma.github.io/Logging_0683/tillsynsmail/A 48887-2023 tillsynsbegäran mail.docx", "A 48887-2023")</f>
        <v/>
      </c>
    </row>
    <row r="36" ht="15" customHeight="1">
      <c r="A36" t="inlineStr">
        <is>
          <t>A 5761-2024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45335</v>
      </c>
      <c r="E36" s="1" t="n">
        <v>46236</v>
      </c>
      <c r="F36" t="inlineStr">
        <is>
          <t>JÖNKÖPINGS LÄN</t>
        </is>
      </c>
      <c r="G36" t="inlineStr">
        <is>
          <t>VÄRNAMO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HYPERLINK("https://klasma.github.io/Logging_0683/artfynd/A 5761-2024 artfynd.xlsx", "A 5761-2024")</f>
        <v/>
      </c>
      <c r="X36">
        <f>HYPERLINK("https://klasma.github.io/Logging_0683/kartor/A 5761-2024 karta.png", "A 5761-2024")</f>
        <v/>
      </c>
      <c r="Y36">
        <f>HYPERLINK("https://klasma.github.io/Logging_0683/kartor_geotiff/A 5761-2024 georefererad karta.tif", "A 5761-2024")</f>
        <v/>
      </c>
      <c r="AA36">
        <f>HYPERLINK("https://klasma.github.io/Logging_0683/klagomål/A 5761-2024 FSC-klagomål.docx", "A 5761-2024")</f>
        <v/>
      </c>
      <c r="AB36">
        <f>HYPERLINK("https://klasma.github.io/Logging_0683/klagomålsmail/A 5761-2024 FSC-klagomål mail.docx", "A 5761-2024")</f>
        <v/>
      </c>
      <c r="AC36">
        <f>HYPERLINK("https://klasma.github.io/Logging_0683/tillsyn/A 5761-2024 tillsynsbegäran.docx", "A 5761-2024")</f>
        <v/>
      </c>
      <c r="AD36">
        <f>HYPERLINK("https://klasma.github.io/Logging_0683/tillsynsmail/A 5761-2024 tillsynsbegäran mail.docx", "A 5761-2024")</f>
        <v/>
      </c>
    </row>
    <row r="37" ht="15" customHeight="1">
      <c r="A37" t="inlineStr">
        <is>
          <t>A 33366-2025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46236</v>
      </c>
      <c r="F37" t="inlineStr">
        <is>
          <t>JÖNKÖPINGS LÄN</t>
        </is>
      </c>
      <c r="G37" t="inlineStr">
        <is>
          <t>VÄRNAMO</t>
        </is>
      </c>
      <c r="I37" t="n">
        <v>5.7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Strandlummer</t>
        </is>
      </c>
      <c r="W37">
        <f>HYPERLINK("https://klasma.github.io/Logging_0683/artfynd/A 33366-2025 artfynd.xlsx", "A 33366-2025")</f>
        <v/>
      </c>
      <c r="X37">
        <f>HYPERLINK("https://klasma.github.io/Logging_0683/kartor/A 33366-2025 karta.png", "A 33366-2025")</f>
        <v/>
      </c>
      <c r="Y37">
        <f>HYPERLINK("https://klasma.github.io/Logging_0683/kartor_geotiff/A 33366-2025 georefererad karta.tif", "A 33366-2025")</f>
        <v/>
      </c>
      <c r="AA37">
        <f>HYPERLINK("https://klasma.github.io/Logging_0683/klagomål/A 33366-2025 FSC-klagomål.docx", "A 33366-2025")</f>
        <v/>
      </c>
      <c r="AB37">
        <f>HYPERLINK("https://klasma.github.io/Logging_0683/klagomålsmail/A 33366-2025 FSC-klagomål mail.docx", "A 33366-2025")</f>
        <v/>
      </c>
      <c r="AC37">
        <f>HYPERLINK("https://klasma.github.io/Logging_0683/tillsyn/A 33366-2025 tillsynsbegäran.docx", "A 33366-2025")</f>
        <v/>
      </c>
      <c r="AD37">
        <f>HYPERLINK("https://klasma.github.io/Logging_0683/tillsynsmail/A 33366-2025 tillsynsbegäran mail.docx", "A 33366-2025")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46236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46236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46236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46236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46236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46236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46236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46236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46236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46236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46236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46236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46236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46236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46236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46236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46236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46236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46236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46236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46236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46236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46236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46236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46236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46236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46236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46236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46236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46236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46236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46236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46236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46236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46236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46236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46236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46236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46236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46236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46236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46236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46236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46236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46236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46236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46236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46236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46236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46236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46236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44440</v>
      </c>
      <c r="E89" s="1" t="n">
        <v>46236</v>
      </c>
      <c r="F89" t="inlineStr">
        <is>
          <t>JÖNKÖPINGS LÄN</t>
        </is>
      </c>
      <c r="G89" t="inlineStr">
        <is>
          <t>VÄRNAMO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46236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46236</v>
      </c>
      <c r="F91" t="inlineStr">
        <is>
          <t>JÖNKÖPINGS LÄN</t>
        </is>
      </c>
      <c r="G91" t="inlineStr">
        <is>
          <t>VÄRNAMO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46236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46236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46236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46236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46236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46236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46236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46236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46236</v>
      </c>
      <c r="F100" t="inlineStr">
        <is>
          <t>JÖNKÖPINGS LÄN</t>
        </is>
      </c>
      <c r="G100" t="inlineStr">
        <is>
          <t>VÄRNAMO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46236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46236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46236</v>
      </c>
      <c r="F103" t="inlineStr">
        <is>
          <t>JÖNKÖPINGS LÄN</t>
        </is>
      </c>
      <c r="G103" t="inlineStr">
        <is>
          <t>VÄRNAMO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46236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46236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46236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46236</v>
      </c>
      <c r="F107" t="inlineStr">
        <is>
          <t>JÖNKÖPINGS LÄN</t>
        </is>
      </c>
      <c r="G107" t="inlineStr">
        <is>
          <t>VÄRNAMO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46236</v>
      </c>
      <c r="F108" t="inlineStr">
        <is>
          <t>JÖNKÖPINGS LÄN</t>
        </is>
      </c>
      <c r="G108" t="inlineStr">
        <is>
          <t>VÄRNAMO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44448</v>
      </c>
      <c r="E109" s="1" t="n">
        <v>46236</v>
      </c>
      <c r="F109" t="inlineStr">
        <is>
          <t>JÖNKÖPINGS LÄN</t>
        </is>
      </c>
      <c r="G109" t="inlineStr">
        <is>
          <t>VÄRNAMO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46236</v>
      </c>
      <c r="F110" t="inlineStr">
        <is>
          <t>JÖNKÖPINGS LÄN</t>
        </is>
      </c>
      <c r="G110" t="inlineStr">
        <is>
          <t>VÄRNAMO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46236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46236</v>
      </c>
      <c r="F112" t="inlineStr">
        <is>
          <t>JÖNKÖPINGS LÄN</t>
        </is>
      </c>
      <c r="G112" t="inlineStr">
        <is>
          <t>VÄRNAMO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46236</v>
      </c>
      <c r="F113" t="inlineStr">
        <is>
          <t>JÖNKÖPINGS LÄN</t>
        </is>
      </c>
      <c r="G113" t="inlineStr">
        <is>
          <t>VÄRNAMO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44425</v>
      </c>
      <c r="E114" s="1" t="n">
        <v>46236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46236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46236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46236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46236</v>
      </c>
      <c r="F118" t="inlineStr">
        <is>
          <t>JÖNKÖPINGS LÄN</t>
        </is>
      </c>
      <c r="G118" t="inlineStr">
        <is>
          <t>VÄRNAMO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46236</v>
      </c>
      <c r="F119" t="inlineStr">
        <is>
          <t>JÖNKÖPINGS LÄN</t>
        </is>
      </c>
      <c r="G119" t="inlineStr">
        <is>
          <t>VÄRNAMO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46236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46236</v>
      </c>
      <c r="F121" t="inlineStr">
        <is>
          <t>JÖNKÖPINGS LÄN</t>
        </is>
      </c>
      <c r="G121" t="inlineStr">
        <is>
          <t>VÄRNAMO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46236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46236</v>
      </c>
      <c r="F123" t="inlineStr">
        <is>
          <t>JÖNKÖPINGS LÄN</t>
        </is>
      </c>
      <c r="G123" t="inlineStr">
        <is>
          <t>VÄRNAMO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46236</v>
      </c>
      <c r="F124" t="inlineStr">
        <is>
          <t>JÖNKÖPINGS LÄN</t>
        </is>
      </c>
      <c r="G124" t="inlineStr">
        <is>
          <t>VÄRNAMO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46236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44823</v>
      </c>
      <c r="E126" s="1" t="n">
        <v>46236</v>
      </c>
      <c r="F126" t="inlineStr">
        <is>
          <t>JÖNKÖPINGS LÄN</t>
        </is>
      </c>
      <c r="G126" t="inlineStr">
        <is>
          <t>VÄRNAMO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46236</v>
      </c>
      <c r="F127" t="inlineStr">
        <is>
          <t>JÖNKÖPINGS LÄN</t>
        </is>
      </c>
      <c r="G127" t="inlineStr">
        <is>
          <t>VÄRNAMO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46236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45566</v>
      </c>
      <c r="E129" s="1" t="n">
        <v>46236</v>
      </c>
      <c r="F129" t="inlineStr">
        <is>
          <t>JÖNKÖPINGS LÄN</t>
        </is>
      </c>
      <c r="G129" t="inlineStr">
        <is>
          <t>VÄRNAMO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44970</v>
      </c>
      <c r="E130" s="1" t="n">
        <v>46236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45221</v>
      </c>
      <c r="E131" s="1" t="n">
        <v>46236</v>
      </c>
      <c r="F131" t="inlineStr">
        <is>
          <t>JÖNKÖPINGS LÄN</t>
        </is>
      </c>
      <c r="G131" t="inlineStr">
        <is>
          <t>VÄRNAMO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46236</v>
      </c>
      <c r="F132" t="inlineStr">
        <is>
          <t>JÖNKÖPINGS LÄN</t>
        </is>
      </c>
      <c r="G132" t="inlineStr">
        <is>
          <t>VÄRNAMO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45324</v>
      </c>
      <c r="E133" s="1" t="n">
        <v>46236</v>
      </c>
      <c r="F133" t="inlineStr">
        <is>
          <t>JÖNKÖPINGS LÄN</t>
        </is>
      </c>
      <c r="G133" t="inlineStr">
        <is>
          <t>VÄRNAMO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46236</v>
      </c>
      <c r="F134" t="inlineStr">
        <is>
          <t>JÖNKÖPINGS LÄN</t>
        </is>
      </c>
      <c r="G134" t="inlineStr">
        <is>
          <t>VÄRNAMO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46236</v>
      </c>
      <c r="F135" t="inlineStr">
        <is>
          <t>JÖNKÖPINGS LÄN</t>
        </is>
      </c>
      <c r="G135" t="inlineStr">
        <is>
          <t>VÄRNAMO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46236</v>
      </c>
      <c r="F136" t="inlineStr">
        <is>
          <t>JÖNKÖPINGS LÄN</t>
        </is>
      </c>
      <c r="G136" t="inlineStr">
        <is>
          <t>VÄRNAMO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46236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46236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46236</v>
      </c>
      <c r="F139" t="inlineStr">
        <is>
          <t>JÖNKÖPINGS LÄN</t>
        </is>
      </c>
      <c r="G139" t="inlineStr">
        <is>
          <t>VÄRNAMO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46236</v>
      </c>
      <c r="F140" t="inlineStr">
        <is>
          <t>JÖNKÖPINGS LÄN</t>
        </is>
      </c>
      <c r="G140" t="inlineStr">
        <is>
          <t>VÄRNAMO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46236</v>
      </c>
      <c r="F141" t="inlineStr">
        <is>
          <t>JÖNKÖPINGS LÄN</t>
        </is>
      </c>
      <c r="G141" t="inlineStr">
        <is>
          <t>VÄRNAMO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46236</v>
      </c>
      <c r="F142" t="inlineStr">
        <is>
          <t>JÖNKÖPINGS LÄN</t>
        </is>
      </c>
      <c r="G142" t="inlineStr">
        <is>
          <t>VÄRNAMO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46236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46236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46236</v>
      </c>
      <c r="F145" t="inlineStr">
        <is>
          <t>JÖNKÖPINGS LÄN</t>
        </is>
      </c>
      <c r="G145" t="inlineStr">
        <is>
          <t>VÄRNAMO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46236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46236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46236</v>
      </c>
      <c r="F148" t="inlineStr">
        <is>
          <t>JÖNKÖPINGS LÄN</t>
        </is>
      </c>
      <c r="G148" t="inlineStr">
        <is>
          <t>VÄRNAMO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8968-2024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45357</v>
      </c>
      <c r="E149" s="1" t="n">
        <v>46236</v>
      </c>
      <c r="F149" t="inlineStr">
        <is>
          <t>JÖNKÖPINGS LÄN</t>
        </is>
      </c>
      <c r="G149" t="inlineStr">
        <is>
          <t>VÄRNAMO</t>
        </is>
      </c>
      <c r="H149" t="inlineStr">
        <is>
          <t>Sveaskog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46236</v>
      </c>
      <c r="F150" t="inlineStr">
        <is>
          <t>JÖNKÖPINGS LÄN</t>
        </is>
      </c>
      <c r="G150" t="inlineStr">
        <is>
          <t>VÄRNAMO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46236</v>
      </c>
      <c r="F151" t="inlineStr">
        <is>
          <t>JÖNKÖPINGS LÄN</t>
        </is>
      </c>
      <c r="G151" t="inlineStr">
        <is>
          <t>VÄRNAMO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46236</v>
      </c>
      <c r="F152" t="inlineStr">
        <is>
          <t>JÖNKÖPINGS LÄN</t>
        </is>
      </c>
      <c r="G152" t="inlineStr">
        <is>
          <t>VÄRNAMO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46236</v>
      </c>
      <c r="F153" t="inlineStr">
        <is>
          <t>JÖNKÖPINGS LÄN</t>
        </is>
      </c>
      <c r="G153" t="inlineStr">
        <is>
          <t>VÄRNAMO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44949</v>
      </c>
      <c r="E154" s="1" t="n">
        <v>46236</v>
      </c>
      <c r="F154" t="inlineStr">
        <is>
          <t>JÖNKÖPINGS LÄN</t>
        </is>
      </c>
      <c r="G154" t="inlineStr">
        <is>
          <t>VÄRNAMO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46236</v>
      </c>
      <c r="F155" t="inlineStr">
        <is>
          <t>JÖNKÖPINGS LÄN</t>
        </is>
      </c>
      <c r="G155" t="inlineStr">
        <is>
          <t>VÄRNAMO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45302</v>
      </c>
      <c r="E156" s="1" t="n">
        <v>46236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46236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46236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47987-2022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44853</v>
      </c>
      <c r="E159" s="1" t="n">
        <v>46236</v>
      </c>
      <c r="F159" t="inlineStr">
        <is>
          <t>JÖNKÖPINGS LÄN</t>
        </is>
      </c>
      <c r="G159" t="inlineStr">
        <is>
          <t>VÄRNAMO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46236</v>
      </c>
      <c r="F160" t="inlineStr">
        <is>
          <t>JÖNKÖPINGS LÄN</t>
        </is>
      </c>
      <c r="G160" t="inlineStr">
        <is>
          <t>VÄRNAMO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46236</v>
      </c>
      <c r="F161" t="inlineStr">
        <is>
          <t>JÖNKÖPINGS LÄN</t>
        </is>
      </c>
      <c r="G161" t="inlineStr">
        <is>
          <t>VÄRNAMO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46236</v>
      </c>
      <c r="F162" t="inlineStr">
        <is>
          <t>JÖNKÖPINGS LÄN</t>
        </is>
      </c>
      <c r="G162" t="inlineStr">
        <is>
          <t>VÄRNAMO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46236</v>
      </c>
      <c r="F163" t="inlineStr">
        <is>
          <t>JÖNKÖPINGS LÄN</t>
        </is>
      </c>
      <c r="G163" t="inlineStr">
        <is>
          <t>VÄRNAMO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45036</v>
      </c>
      <c r="E164" s="1" t="n">
        <v>46236</v>
      </c>
      <c r="F164" t="inlineStr">
        <is>
          <t>JÖNKÖPINGS LÄN</t>
        </is>
      </c>
      <c r="G164" t="inlineStr">
        <is>
          <t>VÄRNAMO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46236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46236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46236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46236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46236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46236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46236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46236</v>
      </c>
      <c r="F172" t="inlineStr">
        <is>
          <t>JÖNKÖPINGS LÄN</t>
        </is>
      </c>
      <c r="G172" t="inlineStr">
        <is>
          <t>VÄRNAMO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45853</v>
      </c>
      <c r="E173" s="1" t="n">
        <v>46236</v>
      </c>
      <c r="F173" t="inlineStr">
        <is>
          <t>JÖNKÖPINGS LÄN</t>
        </is>
      </c>
      <c r="G173" t="inlineStr">
        <is>
          <t>VÄRNAMO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46236</v>
      </c>
      <c r="F174" t="inlineStr">
        <is>
          <t>JÖNKÖPINGS LÄN</t>
        </is>
      </c>
      <c r="G174" t="inlineStr">
        <is>
          <t>VÄRNAMO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46236</v>
      </c>
      <c r="F175" t="inlineStr">
        <is>
          <t>JÖNKÖPINGS LÄN</t>
        </is>
      </c>
      <c r="G175" t="inlineStr">
        <is>
          <t>VÄRNAMO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46236</v>
      </c>
      <c r="F176" t="inlineStr">
        <is>
          <t>JÖNKÖPINGS LÄN</t>
        </is>
      </c>
      <c r="G176" t="inlineStr">
        <is>
          <t>VÄRNAMO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46236</v>
      </c>
      <c r="F177" t="inlineStr">
        <is>
          <t>JÖNKÖPINGS LÄN</t>
        </is>
      </c>
      <c r="G177" t="inlineStr">
        <is>
          <t>VÄRNAMO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74026-2021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44553</v>
      </c>
      <c r="E178" s="1" t="n">
        <v>46236</v>
      </c>
      <c r="F178" t="inlineStr">
        <is>
          <t>JÖNKÖPINGS LÄN</t>
        </is>
      </c>
      <c r="G178" t="inlineStr">
        <is>
          <t>VÄRNAMO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74027-2021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44553</v>
      </c>
      <c r="E179" s="1" t="n">
        <v>46236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46236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46236</v>
      </c>
      <c r="F181" t="inlineStr">
        <is>
          <t>JÖNKÖPINGS LÄN</t>
        </is>
      </c>
      <c r="G181" t="inlineStr">
        <is>
          <t>VÄRNAMO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45217</v>
      </c>
      <c r="E182" s="1" t="n">
        <v>46236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46236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46236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46236</v>
      </c>
      <c r="F185" t="inlineStr">
        <is>
          <t>JÖNKÖPINGS LÄN</t>
        </is>
      </c>
      <c r="G185" t="inlineStr">
        <is>
          <t>VÄRNAMO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46236</v>
      </c>
      <c r="F186" t="inlineStr">
        <is>
          <t>JÖNKÖPINGS LÄN</t>
        </is>
      </c>
      <c r="G186" t="inlineStr">
        <is>
          <t>VÄRNAMO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46236</v>
      </c>
      <c r="F187" t="inlineStr">
        <is>
          <t>JÖNKÖPINGS LÄN</t>
        </is>
      </c>
      <c r="G187" t="inlineStr">
        <is>
          <t>VÄRNAMO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46236</v>
      </c>
      <c r="F188" t="inlineStr">
        <is>
          <t>JÖNKÖPINGS LÄN</t>
        </is>
      </c>
      <c r="G188" t="inlineStr">
        <is>
          <t>VÄRNAMO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46236</v>
      </c>
      <c r="F189" t="inlineStr">
        <is>
          <t>JÖNKÖPINGS LÄN</t>
        </is>
      </c>
      <c r="G189" t="inlineStr">
        <is>
          <t>VÄRNAMO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46236</v>
      </c>
      <c r="F190" t="inlineStr">
        <is>
          <t>JÖNKÖPINGS LÄN</t>
        </is>
      </c>
      <c r="G190" t="inlineStr">
        <is>
          <t>VÄRNAMO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46236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46236</v>
      </c>
      <c r="F192" t="inlineStr">
        <is>
          <t>JÖNKÖPINGS LÄN</t>
        </is>
      </c>
      <c r="G192" t="inlineStr">
        <is>
          <t>VÄRNAMO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46236</v>
      </c>
      <c r="F193" t="inlineStr">
        <is>
          <t>JÖNKÖPINGS LÄN</t>
        </is>
      </c>
      <c r="G193" t="inlineStr">
        <is>
          <t>VÄRNAMO</t>
        </is>
      </c>
      <c r="H193" t="inlineStr">
        <is>
          <t>Kommuner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46236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45267</v>
      </c>
      <c r="E195" s="1" t="n">
        <v>46236</v>
      </c>
      <c r="F195" t="inlineStr">
        <is>
          <t>JÖNKÖPINGS LÄN</t>
        </is>
      </c>
      <c r="G195" t="inlineStr">
        <is>
          <t>VÄRNAMO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45818-2022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46236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46236</v>
      </c>
      <c r="F197" t="inlineStr">
        <is>
          <t>JÖNKÖPINGS LÄN</t>
        </is>
      </c>
      <c r="G197" t="inlineStr">
        <is>
          <t>VÄRNAMO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46236</v>
      </c>
      <c r="F198" t="inlineStr">
        <is>
          <t>JÖNKÖPINGS LÄN</t>
        </is>
      </c>
      <c r="G198" t="inlineStr">
        <is>
          <t>VÄRNAMO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46236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46236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46236</v>
      </c>
      <c r="F201" t="inlineStr">
        <is>
          <t>JÖNKÖPINGS LÄN</t>
        </is>
      </c>
      <c r="G201" t="inlineStr">
        <is>
          <t>VÄRNAMO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45509</v>
      </c>
      <c r="E202" s="1" t="n">
        <v>46236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46236</v>
      </c>
      <c r="F203" t="inlineStr">
        <is>
          <t>JÖNKÖPINGS LÄN</t>
        </is>
      </c>
      <c r="G203" t="inlineStr">
        <is>
          <t>VÄRNAMO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46236</v>
      </c>
      <c r="F204" t="inlineStr">
        <is>
          <t>JÖNKÖPINGS LÄN</t>
        </is>
      </c>
      <c r="G204" t="inlineStr">
        <is>
          <t>VÄRNAMO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46236</v>
      </c>
      <c r="F205" t="inlineStr">
        <is>
          <t>JÖNKÖPINGS LÄN</t>
        </is>
      </c>
      <c r="G205" t="inlineStr">
        <is>
          <t>VÄRNAMO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46236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46236</v>
      </c>
      <c r="F207" t="inlineStr">
        <is>
          <t>JÖNKÖPINGS LÄN</t>
        </is>
      </c>
      <c r="G207" t="inlineStr">
        <is>
          <t>VÄRNAMO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46236</v>
      </c>
      <c r="F208" t="inlineStr">
        <is>
          <t>JÖNKÖPINGS LÄN</t>
        </is>
      </c>
      <c r="G208" t="inlineStr">
        <is>
          <t>VÄRNAMO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46236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45841</v>
      </c>
      <c r="E210" s="1" t="n">
        <v>46236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54254-2021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46236</v>
      </c>
      <c r="F211" t="inlineStr">
        <is>
          <t>JÖNKÖPINGS LÄN</t>
        </is>
      </c>
      <c r="G211" t="inlineStr">
        <is>
          <t>VÄRNAMO</t>
        </is>
      </c>
      <c r="H211" t="inlineStr">
        <is>
          <t>Övriga Aktiebolag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46236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46236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46236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46236</v>
      </c>
      <c r="F215" t="inlineStr">
        <is>
          <t>JÖNKÖPINGS LÄN</t>
        </is>
      </c>
      <c r="G215" t="inlineStr">
        <is>
          <t>VÄRNAMO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46236</v>
      </c>
      <c r="F216" t="inlineStr">
        <is>
          <t>JÖNKÖPINGS LÄN</t>
        </is>
      </c>
      <c r="G216" t="inlineStr">
        <is>
          <t>VÄRNAMO</t>
        </is>
      </c>
      <c r="H216" t="inlineStr">
        <is>
          <t>Övriga Aktiebolag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46236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46236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46236</v>
      </c>
      <c r="F219" t="inlineStr">
        <is>
          <t>JÖNKÖPINGS LÄN</t>
        </is>
      </c>
      <c r="G219" t="inlineStr">
        <is>
          <t>VÄRNAMO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46236</v>
      </c>
      <c r="F220" t="inlineStr">
        <is>
          <t>JÖNKÖPINGS LÄN</t>
        </is>
      </c>
      <c r="G220" t="inlineStr">
        <is>
          <t>VÄRNAMO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46236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46236</v>
      </c>
      <c r="F222" t="inlineStr">
        <is>
          <t>JÖNKÖPINGS LÄN</t>
        </is>
      </c>
      <c r="G222" t="inlineStr">
        <is>
          <t>VÄRNAMO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46236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46236</v>
      </c>
      <c r="F224" t="inlineStr">
        <is>
          <t>JÖNKÖPINGS LÄN</t>
        </is>
      </c>
      <c r="G224" t="inlineStr">
        <is>
          <t>VÄRNAMO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46236</v>
      </c>
      <c r="F225" t="inlineStr">
        <is>
          <t>JÖNKÖPINGS LÄN</t>
        </is>
      </c>
      <c r="G225" t="inlineStr">
        <is>
          <t>VÄRNAMO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46236</v>
      </c>
      <c r="F226" t="inlineStr">
        <is>
          <t>JÖNKÖPINGS LÄN</t>
        </is>
      </c>
      <c r="G226" t="inlineStr">
        <is>
          <t>VÄRNAMO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46236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46236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46236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46236</v>
      </c>
      <c r="F230" t="inlineStr">
        <is>
          <t>JÖNKÖPINGS LÄN</t>
        </is>
      </c>
      <c r="G230" t="inlineStr">
        <is>
          <t>VÄRNAMO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46236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46236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46236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46236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46236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45221</v>
      </c>
      <c r="E236" s="1" t="n">
        <v>46236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46236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46236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46236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46236</v>
      </c>
      <c r="F240" t="inlineStr">
        <is>
          <t>JÖNKÖPINGS LÄN</t>
        </is>
      </c>
      <c r="G240" t="inlineStr">
        <is>
          <t>VÄRNAMO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46236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46236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58766-2022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46236</v>
      </c>
      <c r="F243" t="inlineStr">
        <is>
          <t>JÖNKÖPINGS LÄN</t>
        </is>
      </c>
      <c r="G243" t="inlineStr">
        <is>
          <t>VÄRNAMO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44642</v>
      </c>
      <c r="E244" s="1" t="n">
        <v>46236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46236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44577</v>
      </c>
      <c r="E246" s="1" t="n">
        <v>46236</v>
      </c>
      <c r="F246" t="inlineStr">
        <is>
          <t>JÖNKÖPINGS LÄN</t>
        </is>
      </c>
      <c r="G246" t="inlineStr">
        <is>
          <t>VÄRNAMO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44931</v>
      </c>
      <c r="E247" s="1" t="n">
        <v>46236</v>
      </c>
      <c r="F247" t="inlineStr">
        <is>
          <t>JÖNKÖPINGS LÄN</t>
        </is>
      </c>
      <c r="G247" t="inlineStr">
        <is>
          <t>VÄRNAMO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46236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44929</v>
      </c>
      <c r="E249" s="1" t="n">
        <v>46236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46236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46236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68171-2021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44526</v>
      </c>
      <c r="E252" s="1" t="n">
        <v>46236</v>
      </c>
      <c r="F252" t="inlineStr">
        <is>
          <t>JÖNKÖPINGS LÄN</t>
        </is>
      </c>
      <c r="G252" t="inlineStr">
        <is>
          <t>VÄRNAMO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45044</v>
      </c>
      <c r="E253" s="1" t="n">
        <v>46236</v>
      </c>
      <c r="F253" t="inlineStr">
        <is>
          <t>JÖNKÖPINGS LÄN</t>
        </is>
      </c>
      <c r="G253" t="inlineStr">
        <is>
          <t>VÄRNAMO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46236</v>
      </c>
      <c r="F254" t="inlineStr">
        <is>
          <t>JÖNKÖPINGS LÄN</t>
        </is>
      </c>
      <c r="G254" t="inlineStr">
        <is>
          <t>VÄRNAMO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46236</v>
      </c>
      <c r="F255" t="inlineStr">
        <is>
          <t>JÖNKÖPINGS LÄN</t>
        </is>
      </c>
      <c r="G255" t="inlineStr">
        <is>
          <t>VÄRNAMO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46236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14439-2023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45012</v>
      </c>
      <c r="E257" s="1" t="n">
        <v>46236</v>
      </c>
      <c r="F257" t="inlineStr">
        <is>
          <t>JÖNKÖPINGS LÄN</t>
        </is>
      </c>
      <c r="G257" t="inlineStr">
        <is>
          <t>VÄRNAMO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45175</v>
      </c>
      <c r="E258" s="1" t="n">
        <v>46236</v>
      </c>
      <c r="F258" t="inlineStr">
        <is>
          <t>JÖNKÖPINGS LÄN</t>
        </is>
      </c>
      <c r="G258" t="inlineStr">
        <is>
          <t>VÄRNAMO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46236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45112</v>
      </c>
      <c r="E260" s="1" t="n">
        <v>46236</v>
      </c>
      <c r="F260" t="inlineStr">
        <is>
          <t>JÖNKÖPINGS LÄN</t>
        </is>
      </c>
      <c r="G260" t="inlineStr">
        <is>
          <t>VÄRNAMO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46236</v>
      </c>
      <c r="F261" t="inlineStr">
        <is>
          <t>JÖNKÖPINGS LÄN</t>
        </is>
      </c>
      <c r="G261" t="inlineStr">
        <is>
          <t>VÄRNAMO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46236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46236</v>
      </c>
      <c r="F263" t="inlineStr">
        <is>
          <t>JÖNKÖPINGS LÄN</t>
        </is>
      </c>
      <c r="G263" t="inlineStr">
        <is>
          <t>VÄRNAMO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46236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46236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53473-2025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45959</v>
      </c>
      <c r="E266" s="1" t="n">
        <v>46236</v>
      </c>
      <c r="F266" t="inlineStr">
        <is>
          <t>JÖNKÖPINGS LÄN</t>
        </is>
      </c>
      <c r="G266" t="inlineStr">
        <is>
          <t>VÄRNAMO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46236</v>
      </c>
      <c r="F267" t="inlineStr">
        <is>
          <t>JÖNKÖPINGS LÄN</t>
        </is>
      </c>
      <c r="G267" t="inlineStr">
        <is>
          <t>VÄRNAMO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46236</v>
      </c>
      <c r="F268" t="inlineStr">
        <is>
          <t>JÖNKÖPINGS LÄN</t>
        </is>
      </c>
      <c r="G268" t="inlineStr">
        <is>
          <t>VÄRNAMO</t>
        </is>
      </c>
      <c r="H268" t="inlineStr">
        <is>
          <t>Sveaskog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46236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46236</v>
      </c>
      <c r="F270" t="inlineStr">
        <is>
          <t>JÖNKÖPINGS LÄN</t>
        </is>
      </c>
      <c r="G270" t="inlineStr">
        <is>
          <t>VÄRNAMO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46236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45563</v>
      </c>
      <c r="E272" s="1" t="n">
        <v>46236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46236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46236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46236</v>
      </c>
      <c r="F275" t="inlineStr">
        <is>
          <t>JÖNKÖPINGS LÄN</t>
        </is>
      </c>
      <c r="G275" t="inlineStr">
        <is>
          <t>VÄRNAMO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46236</v>
      </c>
      <c r="F276" t="inlineStr">
        <is>
          <t>JÖNKÖPINGS LÄN</t>
        </is>
      </c>
      <c r="G276" t="inlineStr">
        <is>
          <t>VÄRNAMO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46236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46236</v>
      </c>
      <c r="F278" t="inlineStr">
        <is>
          <t>JÖNKÖPINGS LÄN</t>
        </is>
      </c>
      <c r="G278" t="inlineStr">
        <is>
          <t>VÄRNAMO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46193</v>
      </c>
      <c r="E279" s="1" t="n">
        <v>46236</v>
      </c>
      <c r="F279" t="inlineStr">
        <is>
          <t>JÖNKÖPINGS LÄN</t>
        </is>
      </c>
      <c r="G279" t="inlineStr">
        <is>
          <t>VÄRNAMO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46236</v>
      </c>
      <c r="F280" t="inlineStr">
        <is>
          <t>JÖNKÖPINGS LÄN</t>
        </is>
      </c>
      <c r="G280" t="inlineStr">
        <is>
          <t>VÄRNAMO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46236</v>
      </c>
      <c r="F281" t="inlineStr">
        <is>
          <t>JÖNKÖPINGS LÄN</t>
        </is>
      </c>
      <c r="G281" t="inlineStr">
        <is>
          <t>VÄRNAMO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46236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46236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46236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46236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46236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45718</v>
      </c>
      <c r="E287" s="1" t="n">
        <v>46236</v>
      </c>
      <c r="F287" t="inlineStr">
        <is>
          <t>JÖNKÖPINGS LÄN</t>
        </is>
      </c>
      <c r="G287" t="inlineStr">
        <is>
          <t>VÄRNAMO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46236</v>
      </c>
      <c r="F288" t="inlineStr">
        <is>
          <t>JÖNKÖPINGS LÄN</t>
        </is>
      </c>
      <c r="G288" t="inlineStr">
        <is>
          <t>VÄRNAMO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45400</v>
      </c>
      <c r="E289" s="1" t="n">
        <v>46236</v>
      </c>
      <c r="F289" t="inlineStr">
        <is>
          <t>JÖNKÖPINGS LÄN</t>
        </is>
      </c>
      <c r="G289" t="inlineStr">
        <is>
          <t>VÄRNAMO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46236</v>
      </c>
      <c r="F290" t="inlineStr">
        <is>
          <t>JÖNKÖPINGS LÄN</t>
        </is>
      </c>
      <c r="G290" t="inlineStr">
        <is>
          <t>VÄRNAMO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46236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46236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46236</v>
      </c>
      <c r="F293" t="inlineStr">
        <is>
          <t>JÖNKÖPINGS LÄN</t>
        </is>
      </c>
      <c r="G293" t="inlineStr">
        <is>
          <t>VÄRNAMO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46236</v>
      </c>
      <c r="F294" t="inlineStr">
        <is>
          <t>JÖNKÖPINGS LÄN</t>
        </is>
      </c>
      <c r="G294" t="inlineStr">
        <is>
          <t>VÄRNAMO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46236</v>
      </c>
      <c r="F295" t="inlineStr">
        <is>
          <t>JÖNKÖPINGS LÄN</t>
        </is>
      </c>
      <c r="G295" t="inlineStr">
        <is>
          <t>VÄRNAMO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44797</v>
      </c>
      <c r="E296" s="1" t="n">
        <v>46236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46236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46236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46236</v>
      </c>
      <c r="F299" t="inlineStr">
        <is>
          <t>JÖNKÖPINGS LÄN</t>
        </is>
      </c>
      <c r="G299" t="inlineStr">
        <is>
          <t>VÄRNAMO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46236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46236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46236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46236</v>
      </c>
      <c r="F303" t="inlineStr">
        <is>
          <t>JÖNKÖPINGS LÄN</t>
        </is>
      </c>
      <c r="G303" t="inlineStr">
        <is>
          <t>VÄRNAMO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45036</v>
      </c>
      <c r="E304" s="1" t="n">
        <v>46236</v>
      </c>
      <c r="F304" t="inlineStr">
        <is>
          <t>JÖNKÖPINGS LÄN</t>
        </is>
      </c>
      <c r="G304" t="inlineStr">
        <is>
          <t>VÄRNAMO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45120-2023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46236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24702-2022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44727</v>
      </c>
      <c r="E306" s="1" t="n">
        <v>46236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45224</v>
      </c>
      <c r="E307" s="1" t="n">
        <v>46236</v>
      </c>
      <c r="F307" t="inlineStr">
        <is>
          <t>JÖNKÖPINGS LÄN</t>
        </is>
      </c>
      <c r="G307" t="inlineStr">
        <is>
          <t>VÄRNAMO</t>
        </is>
      </c>
      <c r="H307" t="inlineStr">
        <is>
          <t>Övriga Aktiebolag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46236</v>
      </c>
      <c r="F308" t="inlineStr">
        <is>
          <t>JÖNKÖPINGS LÄN</t>
        </is>
      </c>
      <c r="G308" t="inlineStr">
        <is>
          <t>VÄRNAMO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46236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46236</v>
      </c>
      <c r="F310" t="inlineStr">
        <is>
          <t>JÖNKÖPINGS LÄN</t>
        </is>
      </c>
      <c r="G310" t="inlineStr">
        <is>
          <t>VÄRNAMO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45200</v>
      </c>
      <c r="E311" s="1" t="n">
        <v>46236</v>
      </c>
      <c r="F311" t="inlineStr">
        <is>
          <t>JÖNKÖPINGS LÄN</t>
        </is>
      </c>
      <c r="G311" t="inlineStr">
        <is>
          <t>VÄRNAMO</t>
        </is>
      </c>
      <c r="H311" t="inlineStr">
        <is>
          <t>Övriga Aktiebolag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46236</v>
      </c>
      <c r="F312" t="inlineStr">
        <is>
          <t>JÖNKÖPINGS LÄN</t>
        </is>
      </c>
      <c r="G312" t="inlineStr">
        <is>
          <t>VÄRNAMO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46236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46236</v>
      </c>
      <c r="F314" t="inlineStr">
        <is>
          <t>JÖNKÖPINGS LÄN</t>
        </is>
      </c>
      <c r="G314" t="inlineStr">
        <is>
          <t>VÄRNAMO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46236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46236</v>
      </c>
      <c r="F316" t="inlineStr">
        <is>
          <t>JÖNKÖPINGS LÄN</t>
        </is>
      </c>
      <c r="G316" t="inlineStr">
        <is>
          <t>VÄRNAMO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46236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46236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46236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46236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46236</v>
      </c>
      <c r="F321" t="inlineStr">
        <is>
          <t>JÖNKÖPINGS LÄN</t>
        </is>
      </c>
      <c r="G321" t="inlineStr">
        <is>
          <t>VÄRNAMO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45446</v>
      </c>
      <c r="E322" s="1" t="n">
        <v>46236</v>
      </c>
      <c r="F322" t="inlineStr">
        <is>
          <t>JÖNKÖPINGS LÄN</t>
        </is>
      </c>
      <c r="G322" t="inlineStr">
        <is>
          <t>VÄRNAMO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46236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46236</v>
      </c>
      <c r="F324" t="inlineStr">
        <is>
          <t>JÖNKÖPINGS LÄN</t>
        </is>
      </c>
      <c r="G324" t="inlineStr">
        <is>
          <t>VÄRNAMO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45072</v>
      </c>
      <c r="E325" s="1" t="n">
        <v>46236</v>
      </c>
      <c r="F325" t="inlineStr">
        <is>
          <t>JÖNKÖPINGS LÄN</t>
        </is>
      </c>
      <c r="G325" t="inlineStr">
        <is>
          <t>VÄRNAMO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46236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46236</v>
      </c>
      <c r="F327" t="inlineStr">
        <is>
          <t>JÖNKÖPINGS LÄN</t>
        </is>
      </c>
      <c r="G327" t="inlineStr">
        <is>
          <t>VÄRNAMO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46236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46236</v>
      </c>
      <c r="F329" t="inlineStr">
        <is>
          <t>JÖNKÖPINGS LÄN</t>
        </is>
      </c>
      <c r="G329" t="inlineStr">
        <is>
          <t>VÄRNAMO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46236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46236</v>
      </c>
      <c r="F331" t="inlineStr">
        <is>
          <t>JÖNKÖPINGS LÄN</t>
        </is>
      </c>
      <c r="G331" t="inlineStr">
        <is>
          <t>VÄRNAMO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45078</v>
      </c>
      <c r="E332" s="1" t="n">
        <v>46236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46236</v>
      </c>
      <c r="F333" t="inlineStr">
        <is>
          <t>JÖNKÖPINGS LÄN</t>
        </is>
      </c>
      <c r="G333" t="inlineStr">
        <is>
          <t>VÄRNAMO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46236</v>
      </c>
      <c r="F334" t="inlineStr">
        <is>
          <t>JÖNKÖPINGS LÄN</t>
        </is>
      </c>
      <c r="G334" t="inlineStr">
        <is>
          <t>VÄRNAMO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45328</v>
      </c>
      <c r="E335" s="1" t="n">
        <v>46236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46236</v>
      </c>
      <c r="F336" t="inlineStr">
        <is>
          <t>JÖNKÖPINGS LÄN</t>
        </is>
      </c>
      <c r="G336" t="inlineStr">
        <is>
          <t>VÄRNAMO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46236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51463-2022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44869</v>
      </c>
      <c r="E338" s="1" t="n">
        <v>46236</v>
      </c>
      <c r="F338" t="inlineStr">
        <is>
          <t>JÖNKÖPINGS LÄN</t>
        </is>
      </c>
      <c r="G338" t="inlineStr">
        <is>
          <t>VÄRNAMO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46236</v>
      </c>
      <c r="F339" t="inlineStr">
        <is>
          <t>JÖNKÖPINGS LÄN</t>
        </is>
      </c>
      <c r="G339" t="inlineStr">
        <is>
          <t>VÄRNAMO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51430-2021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44461</v>
      </c>
      <c r="E340" s="1" t="n">
        <v>46236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46236</v>
      </c>
      <c r="F341" t="inlineStr">
        <is>
          <t>JÖNKÖPINGS LÄN</t>
        </is>
      </c>
      <c r="G341" t="inlineStr">
        <is>
          <t>VÄRNAMO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46236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46236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46236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46236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46236</v>
      </c>
      <c r="F346" t="inlineStr">
        <is>
          <t>JÖNKÖPINGS LÄN</t>
        </is>
      </c>
      <c r="G346" t="inlineStr">
        <is>
          <t>VÄRNAMO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46236</v>
      </c>
      <c r="F347" t="inlineStr">
        <is>
          <t>JÖNKÖPINGS LÄN</t>
        </is>
      </c>
      <c r="G347" t="inlineStr">
        <is>
          <t>VÄRNAMO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46236</v>
      </c>
      <c r="F348" t="inlineStr">
        <is>
          <t>JÖNKÖPINGS LÄN</t>
        </is>
      </c>
      <c r="G348" t="inlineStr">
        <is>
          <t>VÄRNAMO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46236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46236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45496</v>
      </c>
      <c r="E351" s="1" t="n">
        <v>46236</v>
      </c>
      <c r="F351" t="inlineStr">
        <is>
          <t>JÖNKÖPINGS LÄN</t>
        </is>
      </c>
      <c r="G351" t="inlineStr">
        <is>
          <t>VÄRNAMO</t>
        </is>
      </c>
      <c r="H351" t="inlineStr">
        <is>
          <t>Kommuner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46236</v>
      </c>
      <c r="F352" t="inlineStr">
        <is>
          <t>JÖNKÖPINGS LÄN</t>
        </is>
      </c>
      <c r="G352" t="inlineStr">
        <is>
          <t>VÄRNAMO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46236</v>
      </c>
      <c r="F353" t="inlineStr">
        <is>
          <t>JÖNKÖPINGS LÄN</t>
        </is>
      </c>
      <c r="G353" t="inlineStr">
        <is>
          <t>VÄRNAMO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46006</v>
      </c>
      <c r="E354" s="1" t="n">
        <v>46236</v>
      </c>
      <c r="F354" t="inlineStr">
        <is>
          <t>JÖNKÖPINGS LÄN</t>
        </is>
      </c>
      <c r="G354" t="inlineStr">
        <is>
          <t>VÄRNAMO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46236</v>
      </c>
      <c r="F355" t="inlineStr">
        <is>
          <t>JÖNKÖPINGS LÄN</t>
        </is>
      </c>
      <c r="G355" t="inlineStr">
        <is>
          <t>VÄRNAMO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46236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46236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46236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29166-2023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45105</v>
      </c>
      <c r="E359" s="1" t="n">
        <v>46236</v>
      </c>
      <c r="F359" t="inlineStr">
        <is>
          <t>JÖNKÖPINGS LÄN</t>
        </is>
      </c>
      <c r="G359" t="inlineStr">
        <is>
          <t>VÄRNAMO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46236</v>
      </c>
      <c r="F360" t="inlineStr">
        <is>
          <t>JÖNKÖPINGS LÄN</t>
        </is>
      </c>
      <c r="G360" t="inlineStr">
        <is>
          <t>VÄRNAMO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46236</v>
      </c>
      <c r="F361" t="inlineStr">
        <is>
          <t>JÖNKÖPINGS LÄN</t>
        </is>
      </c>
      <c r="G361" t="inlineStr">
        <is>
          <t>VÄRNAMO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46236</v>
      </c>
      <c r="F362" t="inlineStr">
        <is>
          <t>JÖNKÖPINGS LÄN</t>
        </is>
      </c>
      <c r="G362" t="inlineStr">
        <is>
          <t>VÄRNAMO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46236</v>
      </c>
      <c r="F363" t="inlineStr">
        <is>
          <t>JÖNKÖPINGS LÄN</t>
        </is>
      </c>
      <c r="G363" t="inlineStr">
        <is>
          <t>VÄRNAMO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46236</v>
      </c>
      <c r="F364" t="inlineStr">
        <is>
          <t>JÖNKÖPINGS LÄN</t>
        </is>
      </c>
      <c r="G364" t="inlineStr">
        <is>
          <t>VÄRNAMO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46236</v>
      </c>
      <c r="F365" t="inlineStr">
        <is>
          <t>JÖNKÖPINGS LÄN</t>
        </is>
      </c>
      <c r="G365" t="inlineStr">
        <is>
          <t>VÄRNAMO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46236</v>
      </c>
      <c r="F366" t="inlineStr">
        <is>
          <t>JÖNKÖPINGS LÄN</t>
        </is>
      </c>
      <c r="G366" t="inlineStr">
        <is>
          <t>VÄRNAMO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46172</v>
      </c>
      <c r="E367" s="1" t="n">
        <v>46236</v>
      </c>
      <c r="F367" t="inlineStr">
        <is>
          <t>JÖNKÖPINGS LÄN</t>
        </is>
      </c>
      <c r="G367" t="inlineStr">
        <is>
          <t>VÄRNAMO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46236</v>
      </c>
      <c r="F368" t="inlineStr">
        <is>
          <t>JÖNKÖPINGS LÄN</t>
        </is>
      </c>
      <c r="G368" t="inlineStr">
        <is>
          <t>VÄRNAMO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46236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29162-2023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45105</v>
      </c>
      <c r="E370" s="1" t="n">
        <v>46236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29168-2023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45105</v>
      </c>
      <c r="E371" s="1" t="n">
        <v>46236</v>
      </c>
      <c r="F371" t="inlineStr">
        <is>
          <t>JÖNKÖPINGS LÄN</t>
        </is>
      </c>
      <c r="G371" t="inlineStr">
        <is>
          <t>VÄRNAMO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45200</v>
      </c>
      <c r="E372" s="1" t="n">
        <v>46236</v>
      </c>
      <c r="F372" t="inlineStr">
        <is>
          <t>JÖNKÖPINGS LÄN</t>
        </is>
      </c>
      <c r="G372" t="inlineStr">
        <is>
          <t>VÄRNAMO</t>
        </is>
      </c>
      <c r="H372" t="inlineStr">
        <is>
          <t>Övriga Aktiebolag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46236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46236</v>
      </c>
      <c r="F374" t="inlineStr">
        <is>
          <t>JÖNKÖPINGS LÄN</t>
        </is>
      </c>
      <c r="G374" t="inlineStr">
        <is>
          <t>VÄRNAMO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45056</v>
      </c>
      <c r="E375" s="1" t="n">
        <v>46236</v>
      </c>
      <c r="F375" t="inlineStr">
        <is>
          <t>JÖNKÖPINGS LÄN</t>
        </is>
      </c>
      <c r="G375" t="inlineStr">
        <is>
          <t>VÄRNAMO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45972</v>
      </c>
      <c r="E376" s="1" t="n">
        <v>46236</v>
      </c>
      <c r="F376" t="inlineStr">
        <is>
          <t>JÖNKÖPINGS LÄN</t>
        </is>
      </c>
      <c r="G376" t="inlineStr">
        <is>
          <t>VÄRNAMO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46236</v>
      </c>
      <c r="F377" t="inlineStr">
        <is>
          <t>JÖNKÖPINGS LÄN</t>
        </is>
      </c>
      <c r="G377" t="inlineStr">
        <is>
          <t>VÄRNAMO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46236</v>
      </c>
      <c r="F378" t="inlineStr">
        <is>
          <t>JÖNKÖPINGS LÄN</t>
        </is>
      </c>
      <c r="G378" t="inlineStr">
        <is>
          <t>VÄRNAMO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46236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46029</v>
      </c>
      <c r="E380" s="1" t="n">
        <v>46236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46236</v>
      </c>
      <c r="F381" t="inlineStr">
        <is>
          <t>JÖNKÖPINGS LÄN</t>
        </is>
      </c>
      <c r="G381" t="inlineStr">
        <is>
          <t>VÄRNAMO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46236</v>
      </c>
      <c r="F382" t="inlineStr">
        <is>
          <t>JÖNKÖPINGS LÄN</t>
        </is>
      </c>
      <c r="G382" t="inlineStr">
        <is>
          <t>VÄRNAMO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46236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45149</v>
      </c>
      <c r="E384" s="1" t="n">
        <v>46236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46236</v>
      </c>
      <c r="F385" t="inlineStr">
        <is>
          <t>JÖNKÖPINGS LÄN</t>
        </is>
      </c>
      <c r="G385" t="inlineStr">
        <is>
          <t>VÄRNAMO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46236</v>
      </c>
      <c r="F386" t="inlineStr">
        <is>
          <t>JÖNKÖPINGS LÄN</t>
        </is>
      </c>
      <c r="G386" t="inlineStr">
        <is>
          <t>VÄRNAMO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46236</v>
      </c>
      <c r="F387" t="inlineStr">
        <is>
          <t>JÖNKÖPINGS LÄN</t>
        </is>
      </c>
      <c r="G387" t="inlineStr">
        <is>
          <t>VÄRNAMO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46236</v>
      </c>
      <c r="F388" t="inlineStr">
        <is>
          <t>JÖNKÖPINGS LÄN</t>
        </is>
      </c>
      <c r="G388" t="inlineStr">
        <is>
          <t>VÄRNAMO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15105-2026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46101</v>
      </c>
      <c r="E389" s="1" t="n">
        <v>46236</v>
      </c>
      <c r="F389" t="inlineStr">
        <is>
          <t>JÖNKÖPINGS LÄN</t>
        </is>
      </c>
      <c r="G389" t="inlineStr">
        <is>
          <t>VÄRNAMO</t>
        </is>
      </c>
      <c r="I389" t="n">
        <v>58.2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46236</v>
      </c>
      <c r="F390" t="inlineStr">
        <is>
          <t>JÖNKÖPINGS LÄN</t>
        </is>
      </c>
      <c r="G390" t="inlineStr">
        <is>
          <t>VÄRNAMO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46236</v>
      </c>
      <c r="F391" t="inlineStr">
        <is>
          <t>JÖNKÖPINGS LÄN</t>
        </is>
      </c>
      <c r="G391" t="inlineStr">
        <is>
          <t>VÄRNAMO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46236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46236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46236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46236</v>
      </c>
      <c r="F395" t="inlineStr">
        <is>
          <t>JÖNKÖPINGS LÄN</t>
        </is>
      </c>
      <c r="G395" t="inlineStr">
        <is>
          <t>VÄRNAMO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46236</v>
      </c>
      <c r="F396" t="inlineStr">
        <is>
          <t>JÖNKÖPINGS LÄN</t>
        </is>
      </c>
      <c r="G396" t="inlineStr">
        <is>
          <t>VÄRNAMO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46038</v>
      </c>
      <c r="E397" s="1" t="n">
        <v>46236</v>
      </c>
      <c r="F397" t="inlineStr">
        <is>
          <t>JÖNKÖPINGS LÄN</t>
        </is>
      </c>
      <c r="G397" t="inlineStr">
        <is>
          <t>VÄRNAMO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46038</v>
      </c>
      <c r="E398" s="1" t="n">
        <v>46236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45019</v>
      </c>
      <c r="E399" s="1" t="n">
        <v>46236</v>
      </c>
      <c r="F399" t="inlineStr">
        <is>
          <t>JÖNKÖPINGS LÄN</t>
        </is>
      </c>
      <c r="G399" t="inlineStr">
        <is>
          <t>VÄRNAMO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46236</v>
      </c>
      <c r="F400" t="inlineStr">
        <is>
          <t>JÖNKÖPINGS LÄN</t>
        </is>
      </c>
      <c r="G400" t="inlineStr">
        <is>
          <t>VÄRNAMO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46236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46236</v>
      </c>
      <c r="F402" t="inlineStr">
        <is>
          <t>JÖNKÖPINGS LÄN</t>
        </is>
      </c>
      <c r="G402" t="inlineStr">
        <is>
          <t>VÄRNAMO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46236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46236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46236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46236</v>
      </c>
      <c r="F406" t="inlineStr">
        <is>
          <t>JÖNKÖPINGS LÄN</t>
        </is>
      </c>
      <c r="G406" t="inlineStr">
        <is>
          <t>VÄRNAMO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46236</v>
      </c>
      <c r="F407" t="inlineStr">
        <is>
          <t>JÖNKÖPINGS LÄN</t>
        </is>
      </c>
      <c r="G407" t="inlineStr">
        <is>
          <t>VÄRNAMO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46236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46236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46236</v>
      </c>
      <c r="F410" t="inlineStr">
        <is>
          <t>JÖNKÖPINGS LÄN</t>
        </is>
      </c>
      <c r="G410" t="inlineStr">
        <is>
          <t>VÄRNAMO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46236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46236</v>
      </c>
      <c r="F412" t="inlineStr">
        <is>
          <t>JÖNKÖPINGS LÄN</t>
        </is>
      </c>
      <c r="G412" t="inlineStr">
        <is>
          <t>VÄRNAMO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46236</v>
      </c>
      <c r="F413" t="inlineStr">
        <is>
          <t>JÖNKÖPINGS LÄN</t>
        </is>
      </c>
      <c r="G413" t="inlineStr">
        <is>
          <t>VÄRNAMO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46236</v>
      </c>
      <c r="F414" t="inlineStr">
        <is>
          <t>JÖNKÖPINGS LÄN</t>
        </is>
      </c>
      <c r="G414" t="inlineStr">
        <is>
          <t>VÄRNAMO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46236</v>
      </c>
      <c r="F415" t="inlineStr">
        <is>
          <t>JÖNKÖPINGS LÄN</t>
        </is>
      </c>
      <c r="G415" t="inlineStr">
        <is>
          <t>VÄRNAMO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46236</v>
      </c>
      <c r="F416" t="inlineStr">
        <is>
          <t>JÖNKÖPINGS LÄN</t>
        </is>
      </c>
      <c r="G416" t="inlineStr">
        <is>
          <t>VÄRNAMO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45124</v>
      </c>
      <c r="E417" s="1" t="n">
        <v>46236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46236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5350-2026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46050</v>
      </c>
      <c r="E419" s="1" t="n">
        <v>46236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46236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46236</v>
      </c>
      <c r="F421" t="inlineStr">
        <is>
          <t>JÖNKÖPINGS LÄN</t>
        </is>
      </c>
      <c r="G421" t="inlineStr">
        <is>
          <t>VÄRNAMO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46236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46236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46236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45250</v>
      </c>
      <c r="E425" s="1" t="n">
        <v>46236</v>
      </c>
      <c r="F425" t="inlineStr">
        <is>
          <t>JÖNKÖPINGS LÄN</t>
        </is>
      </c>
      <c r="G425" t="inlineStr">
        <is>
          <t>VÄRNAMO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46236</v>
      </c>
      <c r="F426" t="inlineStr">
        <is>
          <t>JÖNKÖPINGS LÄN</t>
        </is>
      </c>
      <c r="G426" t="inlineStr">
        <is>
          <t>VÄRNAMO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46236</v>
      </c>
      <c r="F427" t="inlineStr">
        <is>
          <t>JÖNKÖPINGS LÄN</t>
        </is>
      </c>
      <c r="G427" t="inlineStr">
        <is>
          <t>VÄRNAMO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39656-2023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45167</v>
      </c>
      <c r="E428" s="1" t="n">
        <v>46236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74310-2021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44559</v>
      </c>
      <c r="E429" s="1" t="n">
        <v>46236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46236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46236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46236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45517</v>
      </c>
      <c r="E433" s="1" t="n">
        <v>46236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46236</v>
      </c>
      <c r="F434" t="inlineStr">
        <is>
          <t>JÖNKÖPINGS LÄN</t>
        </is>
      </c>
      <c r="G434" t="inlineStr">
        <is>
          <t>VÄRNAMO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46230</v>
      </c>
      <c r="E435" s="1" t="n">
        <v>46236</v>
      </c>
      <c r="F435" t="inlineStr">
        <is>
          <t>JÖNKÖPINGS LÄN</t>
        </is>
      </c>
      <c r="G435" t="inlineStr">
        <is>
          <t>VÄRNAMO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46064</v>
      </c>
      <c r="E436" s="1" t="n">
        <v>46236</v>
      </c>
      <c r="F436" t="inlineStr">
        <is>
          <t>JÖNKÖPINGS LÄN</t>
        </is>
      </c>
      <c r="G436" t="inlineStr">
        <is>
          <t>VÄRNAMO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46236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46236</v>
      </c>
      <c r="F438" t="inlineStr">
        <is>
          <t>JÖNKÖPINGS LÄN</t>
        </is>
      </c>
      <c r="G438" t="inlineStr">
        <is>
          <t>VÄRNAMO</t>
        </is>
      </c>
      <c r="H438" t="inlineStr">
        <is>
          <t>Kommuner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46064</v>
      </c>
      <c r="E439" s="1" t="n">
        <v>46236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46236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46236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46230</v>
      </c>
      <c r="E442" s="1" t="n">
        <v>46236</v>
      </c>
      <c r="F442" t="inlineStr">
        <is>
          <t>JÖNKÖPINGS LÄN</t>
        </is>
      </c>
      <c r="G442" t="inlineStr">
        <is>
          <t>VÄRNAMO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46236</v>
      </c>
      <c r="F443" t="inlineStr">
        <is>
          <t>JÖNKÖPINGS LÄN</t>
        </is>
      </c>
      <c r="G443" t="inlineStr">
        <is>
          <t>VÄRNAMO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44882</v>
      </c>
      <c r="E444" s="1" t="n">
        <v>46236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45278</v>
      </c>
      <c r="E445" s="1" t="n">
        <v>46236</v>
      </c>
      <c r="F445" t="inlineStr">
        <is>
          <t>JÖNKÖPINGS LÄN</t>
        </is>
      </c>
      <c r="G445" t="inlineStr">
        <is>
          <t>VÄRNAMO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46236</v>
      </c>
      <c r="F446" t="inlineStr">
        <is>
          <t>JÖNKÖPINGS LÄN</t>
        </is>
      </c>
      <c r="G446" t="inlineStr">
        <is>
          <t>VÄRNAMO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46236</v>
      </c>
      <c r="F447" t="inlineStr">
        <is>
          <t>JÖNKÖPINGS LÄN</t>
        </is>
      </c>
      <c r="G447" t="inlineStr">
        <is>
          <t>VÄRNAMO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46236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45188</v>
      </c>
      <c r="E449" s="1" t="n">
        <v>46236</v>
      </c>
      <c r="F449" t="inlineStr">
        <is>
          <t>JÖNKÖPINGS LÄN</t>
        </is>
      </c>
      <c r="G449" t="inlineStr">
        <is>
          <t>VÄRNAMO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44642</v>
      </c>
      <c r="E450" s="1" t="n">
        <v>46236</v>
      </c>
      <c r="F450" t="inlineStr">
        <is>
          <t>JÖNKÖPINGS LÄN</t>
        </is>
      </c>
      <c r="G450" t="inlineStr">
        <is>
          <t>VÄRNAMO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27153-2026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46188</v>
      </c>
      <c r="E451" s="1" t="n">
        <v>46236</v>
      </c>
      <c r="F451" t="inlineStr">
        <is>
          <t>JÖNKÖPINGS LÄN</t>
        </is>
      </c>
      <c r="G451" t="inlineStr">
        <is>
          <t>VÄRNAMO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44642</v>
      </c>
      <c r="E452" s="1" t="n">
        <v>46236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46236</v>
      </c>
      <c r="F453" t="inlineStr">
        <is>
          <t>JÖNKÖPINGS LÄN</t>
        </is>
      </c>
      <c r="G453" t="inlineStr">
        <is>
          <t>VÄRNAMO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46236</v>
      </c>
      <c r="F454" t="inlineStr">
        <is>
          <t>JÖNKÖPINGS LÄN</t>
        </is>
      </c>
      <c r="G454" t="inlineStr">
        <is>
          <t>VÄRNAMO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46236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46236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46236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46236</v>
      </c>
      <c r="F458" t="inlineStr">
        <is>
          <t>JÖNKÖPINGS LÄN</t>
        </is>
      </c>
      <c r="G458" t="inlineStr">
        <is>
          <t>VÄRNAMO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46236</v>
      </c>
      <c r="F459" t="inlineStr">
        <is>
          <t>JÖNKÖPINGS LÄN</t>
        </is>
      </c>
      <c r="G459" t="inlineStr">
        <is>
          <t>VÄRNAMO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46236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46236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45721</v>
      </c>
      <c r="E462" s="1" t="n">
        <v>46236</v>
      </c>
      <c r="F462" t="inlineStr">
        <is>
          <t>JÖNKÖPINGS LÄN</t>
        </is>
      </c>
      <c r="G462" t="inlineStr">
        <is>
          <t>VÄRNAMO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46236</v>
      </c>
      <c r="F463" t="inlineStr">
        <is>
          <t>JÖNKÖPINGS LÄN</t>
        </is>
      </c>
      <c r="G463" t="inlineStr">
        <is>
          <t>VÄRNAMO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46236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46236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46236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46191</v>
      </c>
      <c r="E467" s="1" t="n">
        <v>46236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44566</v>
      </c>
      <c r="E468" s="1" t="n">
        <v>46236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45635</v>
      </c>
      <c r="E469" s="1" t="n">
        <v>46236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46236</v>
      </c>
      <c r="F470" t="inlineStr">
        <is>
          <t>JÖNKÖPINGS LÄN</t>
        </is>
      </c>
      <c r="G470" t="inlineStr">
        <is>
          <t>VÄRNAMO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46236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46236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46236</v>
      </c>
      <c r="F473" t="inlineStr">
        <is>
          <t>JÖNKÖPINGS LÄN</t>
        </is>
      </c>
      <c r="G473" t="inlineStr">
        <is>
          <t>VÄRNAMO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46236</v>
      </c>
      <c r="F474" t="inlineStr">
        <is>
          <t>JÖNKÖPINGS LÄN</t>
        </is>
      </c>
      <c r="G474" t="inlineStr">
        <is>
          <t>VÄRNAMO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46236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46236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46236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46236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46236</v>
      </c>
      <c r="F479" t="inlineStr">
        <is>
          <t>JÖNKÖPINGS LÄN</t>
        </is>
      </c>
      <c r="G479" t="inlineStr">
        <is>
          <t>VÄRNAMO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46236</v>
      </c>
      <c r="F480" t="inlineStr">
        <is>
          <t>JÖNKÖPINGS LÄN</t>
        </is>
      </c>
      <c r="G480" t="inlineStr">
        <is>
          <t>VÄRNAMO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46236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46236</v>
      </c>
      <c r="F482" t="inlineStr">
        <is>
          <t>JÖNKÖPINGS LÄN</t>
        </is>
      </c>
      <c r="G482" t="inlineStr">
        <is>
          <t>VÄRNAMO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46236</v>
      </c>
      <c r="F483" t="inlineStr">
        <is>
          <t>JÖNKÖPINGS LÄN</t>
        </is>
      </c>
      <c r="G483" t="inlineStr">
        <is>
          <t>VÄRNAMO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46236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46236</v>
      </c>
      <c r="F485" t="inlineStr">
        <is>
          <t>JÖNKÖPINGS LÄN</t>
        </is>
      </c>
      <c r="G485" t="inlineStr">
        <is>
          <t>VÄRNAMO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11210-2024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45371</v>
      </c>
      <c r="E486" s="1" t="n">
        <v>46236</v>
      </c>
      <c r="F486" t="inlineStr">
        <is>
          <t>JÖNKÖPINGS LÄN</t>
        </is>
      </c>
      <c r="G486" t="inlineStr">
        <is>
          <t>VÄRNAMO</t>
        </is>
      </c>
      <c r="H486" t="inlineStr">
        <is>
          <t>Sveaskog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46080</v>
      </c>
      <c r="E487" s="1" t="n">
        <v>46236</v>
      </c>
      <c r="F487" t="inlineStr">
        <is>
          <t>JÖNKÖPINGS LÄN</t>
        </is>
      </c>
      <c r="G487" t="inlineStr">
        <is>
          <t>VÄRNAMO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46236</v>
      </c>
      <c r="F488" t="inlineStr">
        <is>
          <t>JÖNKÖPINGS LÄN</t>
        </is>
      </c>
      <c r="G488" t="inlineStr">
        <is>
          <t>VÄRNAMO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46236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46236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45687</v>
      </c>
      <c r="E491" s="1" t="n">
        <v>46236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46236</v>
      </c>
      <c r="F492" t="inlineStr">
        <is>
          <t>JÖNKÖPINGS LÄN</t>
        </is>
      </c>
      <c r="G492" t="inlineStr">
        <is>
          <t>VÄRNAMO</t>
        </is>
      </c>
      <c r="I492" t="n">
        <v>13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45684</v>
      </c>
      <c r="E493" s="1" t="n">
        <v>46236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29382-2024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45483</v>
      </c>
      <c r="E494" s="1" t="n">
        <v>46236</v>
      </c>
      <c r="F494" t="inlineStr">
        <is>
          <t>JÖNKÖPINGS LÄN</t>
        </is>
      </c>
      <c r="G494" t="inlineStr">
        <is>
          <t>VÄRNAMO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45271</v>
      </c>
      <c r="E495" s="1" t="n">
        <v>46236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46236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45554</v>
      </c>
      <c r="E497" s="1" t="n">
        <v>46236</v>
      </c>
      <c r="F497" t="inlineStr">
        <is>
          <t>JÖNKÖPINGS LÄN</t>
        </is>
      </c>
      <c r="G497" t="inlineStr">
        <is>
          <t>VÄRNAMO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46086</v>
      </c>
      <c r="E498" s="1" t="n">
        <v>46236</v>
      </c>
      <c r="F498" t="inlineStr">
        <is>
          <t>JÖNKÖPINGS LÄN</t>
        </is>
      </c>
      <c r="G498" t="inlineStr">
        <is>
          <t>VÄRNAMO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46236</v>
      </c>
      <c r="F499" t="inlineStr">
        <is>
          <t>JÖNKÖPINGS LÄN</t>
        </is>
      </c>
      <c r="G499" t="inlineStr">
        <is>
          <t>VÄRNAMO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45044</v>
      </c>
      <c r="E500" s="1" t="n">
        <v>46236</v>
      </c>
      <c r="F500" t="inlineStr">
        <is>
          <t>JÖNKÖPINGS LÄN</t>
        </is>
      </c>
      <c r="G500" t="inlineStr">
        <is>
          <t>VÄRNAMO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44608</v>
      </c>
      <c r="E501" s="1" t="n">
        <v>46236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46236</v>
      </c>
      <c r="F502" t="inlineStr">
        <is>
          <t>JÖNKÖPINGS LÄN</t>
        </is>
      </c>
      <c r="G502" t="inlineStr">
        <is>
          <t>VÄRNAMO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13008-2026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46236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46236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45667</v>
      </c>
      <c r="E505" s="1" t="n">
        <v>46236</v>
      </c>
      <c r="F505" t="inlineStr">
        <is>
          <t>JÖNKÖPINGS LÄN</t>
        </is>
      </c>
      <c r="G505" t="inlineStr">
        <is>
          <t>VÄRNAMO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46236</v>
      </c>
      <c r="F506" t="inlineStr">
        <is>
          <t>JÖNKÖPINGS LÄN</t>
        </is>
      </c>
      <c r="G506" t="inlineStr">
        <is>
          <t>VÄRNAMO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46236</v>
      </c>
      <c r="F507" t="inlineStr">
        <is>
          <t>JÖNKÖPINGS LÄN</t>
        </is>
      </c>
      <c r="G507" t="inlineStr">
        <is>
          <t>VÄRNAMO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45597</v>
      </c>
      <c r="E508" s="1" t="n">
        <v>46236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44699</v>
      </c>
      <c r="E509" s="1" t="n">
        <v>46236</v>
      </c>
      <c r="F509" t="inlineStr">
        <is>
          <t>JÖNKÖPINGS LÄN</t>
        </is>
      </c>
      <c r="G509" t="inlineStr">
        <is>
          <t>VÄRNAMO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46099</v>
      </c>
      <c r="E510" s="1" t="n">
        <v>46236</v>
      </c>
      <c r="F510" t="inlineStr">
        <is>
          <t>JÖNKÖPINGS LÄN</t>
        </is>
      </c>
      <c r="G510" t="inlineStr">
        <is>
          <t>VÄRNAMO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45229</v>
      </c>
      <c r="E511" s="1" t="n">
        <v>46236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14162-2026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46236</v>
      </c>
      <c r="F512" t="inlineStr">
        <is>
          <t>JÖNKÖPINGS LÄN</t>
        </is>
      </c>
      <c r="G512" t="inlineStr">
        <is>
          <t>VÄRNAMO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9156-2024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45358</v>
      </c>
      <c r="E513" s="1" t="n">
        <v>46236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46236</v>
      </c>
      <c r="F514" t="inlineStr">
        <is>
          <t>JÖNKÖPINGS LÄN</t>
        </is>
      </c>
      <c r="G514" t="inlineStr">
        <is>
          <t>VÄRNAMO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45684</v>
      </c>
      <c r="E515" s="1" t="n">
        <v>46236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46236</v>
      </c>
      <c r="F516" t="inlineStr">
        <is>
          <t>JÖNKÖPINGS LÄN</t>
        </is>
      </c>
      <c r="G516" t="inlineStr">
        <is>
          <t>VÄRNAMO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46236</v>
      </c>
      <c r="F517" t="inlineStr">
        <is>
          <t>JÖNKÖPINGS LÄN</t>
        </is>
      </c>
      <c r="G517" t="inlineStr">
        <is>
          <t>VÄRNAMO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46236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45146</v>
      </c>
      <c r="E519" s="1" t="n">
        <v>46236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46236</v>
      </c>
      <c r="F520" t="inlineStr">
        <is>
          <t>JÖNKÖPINGS LÄN</t>
        </is>
      </c>
      <c r="G520" t="inlineStr">
        <is>
          <t>VÄRNAMO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46236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14698-2026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46101</v>
      </c>
      <c r="E522" s="1" t="n">
        <v>46236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46236</v>
      </c>
      <c r="F523" t="inlineStr">
        <is>
          <t>JÖNKÖPINGS LÄN</t>
        </is>
      </c>
      <c r="G523" t="inlineStr">
        <is>
          <t>VÄRNAMO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46236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19250-2025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46236</v>
      </c>
      <c r="F525" t="inlineStr">
        <is>
          <t>JÖNKÖPINGS LÄN</t>
        </is>
      </c>
      <c r="G525" t="inlineStr">
        <is>
          <t>VÄRNAMO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46236</v>
      </c>
      <c r="F526" t="inlineStr">
        <is>
          <t>JÖNKÖPINGS LÄN</t>
        </is>
      </c>
      <c r="G526" t="inlineStr">
        <is>
          <t>VÄRNAMO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45160</v>
      </c>
      <c r="E527" s="1" t="n">
        <v>46236</v>
      </c>
      <c r="F527" t="inlineStr">
        <is>
          <t>JÖNKÖPINGS LÄN</t>
        </is>
      </c>
      <c r="G527" t="inlineStr">
        <is>
          <t>VÄRNAMO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46236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44678</v>
      </c>
      <c r="E529" s="1" t="n">
        <v>46236</v>
      </c>
      <c r="F529" t="inlineStr">
        <is>
          <t>JÖNKÖPINGS LÄN</t>
        </is>
      </c>
      <c r="G529" t="inlineStr">
        <is>
          <t>VÄRNAMO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46236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46236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15101-2026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46101</v>
      </c>
      <c r="E532" s="1" t="n">
        <v>46236</v>
      </c>
      <c r="F532" t="inlineStr">
        <is>
          <t>JÖNKÖPINGS LÄN</t>
        </is>
      </c>
      <c r="G532" t="inlineStr">
        <is>
          <t>VÄRNAMO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46236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45239</v>
      </c>
      <c r="E534" s="1" t="n">
        <v>46236</v>
      </c>
      <c r="F534" t="inlineStr">
        <is>
          <t>JÖNKÖPINGS LÄN</t>
        </is>
      </c>
      <c r="G534" t="inlineStr">
        <is>
          <t>VÄRNAMO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45777</v>
      </c>
      <c r="E535" s="1" t="n">
        <v>46236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46940-2022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46236</v>
      </c>
      <c r="F536" t="inlineStr">
        <is>
          <t>JÖNKÖPINGS LÄN</t>
        </is>
      </c>
      <c r="G536" t="inlineStr">
        <is>
          <t>VÄRNAMO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46236</v>
      </c>
      <c r="F537" t="inlineStr">
        <is>
          <t>JÖNKÖPINGS LÄN</t>
        </is>
      </c>
      <c r="G537" t="inlineStr">
        <is>
          <t>VÄRNAMO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46236</v>
      </c>
      <c r="F538" t="inlineStr">
        <is>
          <t>JÖNKÖPINGS LÄN</t>
        </is>
      </c>
      <c r="G538" t="inlineStr">
        <is>
          <t>VÄRNAMO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46236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48186-2024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45589</v>
      </c>
      <c r="E540" s="1" t="n">
        <v>46236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55373-2023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45238</v>
      </c>
      <c r="E541" s="1" t="n">
        <v>46236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10.6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45428</v>
      </c>
      <c r="E542" s="1" t="n">
        <v>46236</v>
      </c>
      <c r="F542" t="inlineStr">
        <is>
          <t>JÖNKÖPINGS LÄN</t>
        </is>
      </c>
      <c r="G542" t="inlineStr">
        <is>
          <t>VÄRNAMO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46236</v>
      </c>
      <c r="F543" t="inlineStr">
        <is>
          <t>JÖNKÖPINGS LÄN</t>
        </is>
      </c>
      <c r="G543" t="inlineStr">
        <is>
          <t>VÄRNAMO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22220-2024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45445</v>
      </c>
      <c r="E544" s="1" t="n">
        <v>46236</v>
      </c>
      <c r="F544" t="inlineStr">
        <is>
          <t>JÖNKÖPINGS LÄN</t>
        </is>
      </c>
      <c r="G544" t="inlineStr">
        <is>
          <t>VÄRNAMO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44729</v>
      </c>
      <c r="E545" s="1" t="n">
        <v>46236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46236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44686</v>
      </c>
      <c r="E547" s="1" t="n">
        <v>46236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45547</v>
      </c>
      <c r="E548" s="1" t="n">
        <v>46236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60037-2022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44909</v>
      </c>
      <c r="E549" s="1" t="n">
        <v>46236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45468</v>
      </c>
      <c r="E550" s="1" t="n">
        <v>46236</v>
      </c>
      <c r="F550" t="inlineStr">
        <is>
          <t>JÖNKÖPINGS LÄN</t>
        </is>
      </c>
      <c r="G550" t="inlineStr">
        <is>
          <t>VÄRNAMO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46236</v>
      </c>
      <c r="F551" t="inlineStr">
        <is>
          <t>JÖNKÖPINGS LÄN</t>
        </is>
      </c>
      <c r="G551" t="inlineStr">
        <is>
          <t>VÄRNAMO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46236</v>
      </c>
      <c r="F552" t="inlineStr">
        <is>
          <t>JÖNKÖPINGS LÄN</t>
        </is>
      </c>
      <c r="G552" t="inlineStr">
        <is>
          <t>VÄRNAMO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63027-2023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45272</v>
      </c>
      <c r="E553" s="1" t="n">
        <v>46236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45320</v>
      </c>
      <c r="E554" s="1" t="n">
        <v>46236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45243</v>
      </c>
      <c r="E555" s="1" t="n">
        <v>46236</v>
      </c>
      <c r="F555" t="inlineStr">
        <is>
          <t>JÖNKÖPINGS LÄN</t>
        </is>
      </c>
      <c r="G555" t="inlineStr">
        <is>
          <t>VÄRNAMO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46236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48697-2022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44859</v>
      </c>
      <c r="E557" s="1" t="n">
        <v>46236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46236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46236</v>
      </c>
      <c r="F559" t="inlineStr">
        <is>
          <t>JÖNKÖPINGS LÄN</t>
        </is>
      </c>
      <c r="G559" t="inlineStr">
        <is>
          <t>VÄRNAMO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45873</v>
      </c>
      <c r="E560" s="1" t="n">
        <v>46236</v>
      </c>
      <c r="F560" t="inlineStr">
        <is>
          <t>JÖNKÖPINGS LÄN</t>
        </is>
      </c>
      <c r="G560" t="inlineStr">
        <is>
          <t>VÄRNAMO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46236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46236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46236</v>
      </c>
      <c r="F563" t="inlineStr">
        <is>
          <t>JÖNKÖPINGS LÄN</t>
        </is>
      </c>
      <c r="G563" t="inlineStr">
        <is>
          <t>VÄRNAMO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46236</v>
      </c>
      <c r="F564" t="inlineStr">
        <is>
          <t>JÖNKÖPINGS LÄN</t>
        </is>
      </c>
      <c r="G564" t="inlineStr">
        <is>
          <t>VÄRNAMO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64002-2023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45278</v>
      </c>
      <c r="E565" s="1" t="n">
        <v>46236</v>
      </c>
      <c r="F565" t="inlineStr">
        <is>
          <t>JÖNKÖPINGS LÄN</t>
        </is>
      </c>
      <c r="G565" t="inlineStr">
        <is>
          <t>VÄRNAMO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45279</v>
      </c>
      <c r="E566" s="1" t="n">
        <v>46236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45876</v>
      </c>
      <c r="E567" s="1" t="n">
        <v>46236</v>
      </c>
      <c r="F567" t="inlineStr">
        <is>
          <t>JÖNKÖPINGS LÄN</t>
        </is>
      </c>
      <c r="G567" t="inlineStr">
        <is>
          <t>VÄRNAMO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46236</v>
      </c>
      <c r="F568" t="inlineStr">
        <is>
          <t>JÖNKÖPINGS LÄN</t>
        </is>
      </c>
      <c r="G568" t="inlineStr">
        <is>
          <t>VÄRNAMO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45726</v>
      </c>
      <c r="E569" s="1" t="n">
        <v>46236</v>
      </c>
      <c r="F569" t="inlineStr">
        <is>
          <t>JÖNKÖPINGS LÄN</t>
        </is>
      </c>
      <c r="G569" t="inlineStr">
        <is>
          <t>VÄRNAMO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31730-2024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45509</v>
      </c>
      <c r="E570" s="1" t="n">
        <v>46236</v>
      </c>
      <c r="F570" t="inlineStr">
        <is>
          <t>JÖNKÖPINGS LÄN</t>
        </is>
      </c>
      <c r="G570" t="inlineStr">
        <is>
          <t>VÄRNAMO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45566</v>
      </c>
      <c r="E571" s="1" t="n">
        <v>46236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46236</v>
      </c>
      <c r="F572" t="inlineStr">
        <is>
          <t>JÖNKÖPINGS LÄN</t>
        </is>
      </c>
      <c r="G572" t="inlineStr">
        <is>
          <t>VÄRNAMO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41893-2024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46236</v>
      </c>
      <c r="F573" t="inlineStr">
        <is>
          <t>JÖNKÖPINGS LÄN</t>
        </is>
      </c>
      <c r="G573" t="inlineStr">
        <is>
          <t>VÄRNAMO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46236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46236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45302</v>
      </c>
      <c r="E576" s="1" t="n">
        <v>46236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44936</v>
      </c>
      <c r="E577" s="1" t="n">
        <v>46236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53533-2023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45223</v>
      </c>
      <c r="E578" s="1" t="n">
        <v>46236</v>
      </c>
      <c r="F578" t="inlineStr">
        <is>
          <t>JÖNKÖPINGS LÄN</t>
        </is>
      </c>
      <c r="G578" t="inlineStr">
        <is>
          <t>VÄRNAMO</t>
        </is>
      </c>
      <c r="H578" t="inlineStr">
        <is>
          <t>Kyrkan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45796</v>
      </c>
      <c r="E579" s="1" t="n">
        <v>46236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46236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46236</v>
      </c>
      <c r="F581" t="inlineStr">
        <is>
          <t>JÖNKÖPINGS LÄN</t>
        </is>
      </c>
      <c r="G581" t="inlineStr">
        <is>
          <t>VÄRNAMO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44993</v>
      </c>
      <c r="E582" s="1" t="n">
        <v>46236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48289-2024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45590</v>
      </c>
      <c r="E583" s="1" t="n">
        <v>46236</v>
      </c>
      <c r="F583" t="inlineStr">
        <is>
          <t>JÖNKÖPINGS LÄN</t>
        </is>
      </c>
      <c r="G583" t="inlineStr">
        <is>
          <t>VÄRNAMO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45792</v>
      </c>
      <c r="E584" s="1" t="n">
        <v>46236</v>
      </c>
      <c r="F584" t="inlineStr">
        <is>
          <t>JÖNKÖPINGS LÄN</t>
        </is>
      </c>
      <c r="G584" t="inlineStr">
        <is>
          <t>VÄRNAMO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14536-2024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46236</v>
      </c>
      <c r="F585" t="inlineStr">
        <is>
          <t>JÖNKÖPINGS LÄN</t>
        </is>
      </c>
      <c r="G585" t="inlineStr">
        <is>
          <t>VÄRNAMO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46236</v>
      </c>
      <c r="F586" t="inlineStr">
        <is>
          <t>JÖNKÖPINGS LÄN</t>
        </is>
      </c>
      <c r="G586" t="inlineStr">
        <is>
          <t>VÄRNAMO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46236</v>
      </c>
      <c r="F587" t="inlineStr">
        <is>
          <t>JÖNKÖPINGS LÄN</t>
        </is>
      </c>
      <c r="G587" t="inlineStr">
        <is>
          <t>VÄRNAMO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20835-2024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46236</v>
      </c>
      <c r="F588" t="inlineStr">
        <is>
          <t>JÖNKÖPINGS LÄN</t>
        </is>
      </c>
      <c r="G588" t="inlineStr">
        <is>
          <t>VÄRNAMO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46236</v>
      </c>
      <c r="F589" t="inlineStr">
        <is>
          <t>JÖNKÖPINGS LÄN</t>
        </is>
      </c>
      <c r="G589" t="inlineStr">
        <is>
          <t>VÄRNAMO</t>
        </is>
      </c>
      <c r="I589" t="n">
        <v>10.4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46236</v>
      </c>
      <c r="F590" t="inlineStr">
        <is>
          <t>JÖNKÖPINGS LÄN</t>
        </is>
      </c>
      <c r="G590" t="inlineStr">
        <is>
          <t>VÄRNAMO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46236</v>
      </c>
      <c r="F591" t="inlineStr">
        <is>
          <t>JÖNKÖPINGS LÄN</t>
        </is>
      </c>
      <c r="G591" t="inlineStr">
        <is>
          <t>VÄRNAMO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46236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45670</v>
      </c>
      <c r="E593" s="1" t="n">
        <v>46236</v>
      </c>
      <c r="F593" t="inlineStr">
        <is>
          <t>JÖNKÖPINGS LÄN</t>
        </is>
      </c>
      <c r="G593" t="inlineStr">
        <is>
          <t>VÄRNAMO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45649</v>
      </c>
      <c r="E594" s="1" t="n">
        <v>46236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46236</v>
      </c>
      <c r="F595" t="inlineStr">
        <is>
          <t>JÖNKÖPINGS LÄN</t>
        </is>
      </c>
      <c r="G595" t="inlineStr">
        <is>
          <t>VÄRNAMO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45820</v>
      </c>
      <c r="E596" s="1" t="n">
        <v>46236</v>
      </c>
      <c r="F596" t="inlineStr">
        <is>
          <t>JÖNKÖPINGS LÄN</t>
        </is>
      </c>
      <c r="G596" t="inlineStr">
        <is>
          <t>VÄRNAMO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46236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45825</v>
      </c>
      <c r="E598" s="1" t="n">
        <v>46236</v>
      </c>
      <c r="F598" t="inlineStr">
        <is>
          <t>JÖNKÖPINGS LÄN</t>
        </is>
      </c>
      <c r="G598" t="inlineStr">
        <is>
          <t>VÄRNAMO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46236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45827</v>
      </c>
      <c r="E600" s="1" t="n">
        <v>46236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31214-2025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46236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46236</v>
      </c>
      <c r="F602" t="inlineStr">
        <is>
          <t>JÖNKÖPINGS LÄN</t>
        </is>
      </c>
      <c r="G602" t="inlineStr">
        <is>
          <t>VÄRNAMO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46236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46236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45833</v>
      </c>
      <c r="E605" s="1" t="n">
        <v>46236</v>
      </c>
      <c r="F605" t="inlineStr">
        <is>
          <t>JÖNKÖPINGS LÄN</t>
        </is>
      </c>
      <c r="G605" t="inlineStr">
        <is>
          <t>VÄRNAMO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46236</v>
      </c>
      <c r="F606" t="inlineStr">
        <is>
          <t>JÖNKÖPINGS LÄN</t>
        </is>
      </c>
      <c r="G606" t="inlineStr">
        <is>
          <t>VÄRNAMO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46236</v>
      </c>
      <c r="F607" t="inlineStr">
        <is>
          <t>JÖNKÖPINGS LÄN</t>
        </is>
      </c>
      <c r="G607" t="inlineStr">
        <is>
          <t>VÄRNAMO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46236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46236</v>
      </c>
      <c r="F609" t="inlineStr">
        <is>
          <t>JÖNKÖPINGS LÄN</t>
        </is>
      </c>
      <c r="G609" t="inlineStr">
        <is>
          <t>VÄRNAMO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46236</v>
      </c>
      <c r="F610" t="inlineStr">
        <is>
          <t>JÖNKÖPINGS LÄN</t>
        </is>
      </c>
      <c r="G610" t="inlineStr">
        <is>
          <t>VÄRNAMO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45604</v>
      </c>
      <c r="E611" s="1" t="n">
        <v>46236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35007-2025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45851</v>
      </c>
      <c r="E612" s="1" t="n">
        <v>46236</v>
      </c>
      <c r="F612" t="inlineStr">
        <is>
          <t>JÖNKÖPINGS LÄN</t>
        </is>
      </c>
      <c r="G612" t="inlineStr">
        <is>
          <t>VÄRNAMO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45851</v>
      </c>
      <c r="E613" s="1" t="n">
        <v>46236</v>
      </c>
      <c r="F613" t="inlineStr">
        <is>
          <t>JÖNKÖPINGS LÄN</t>
        </is>
      </c>
      <c r="G613" t="inlineStr">
        <is>
          <t>VÄRNAMO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45853</v>
      </c>
      <c r="E614" s="1" t="n">
        <v>46236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45748</v>
      </c>
      <c r="E615" s="1" t="n">
        <v>46236</v>
      </c>
      <c r="F615" t="inlineStr">
        <is>
          <t>JÖNKÖPINGS LÄN</t>
        </is>
      </c>
      <c r="G615" t="inlineStr">
        <is>
          <t>VÄRNAMO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45802</v>
      </c>
      <c r="E616" s="1" t="n">
        <v>46236</v>
      </c>
      <c r="F616" t="inlineStr">
        <is>
          <t>JÖNKÖPINGS LÄN</t>
        </is>
      </c>
      <c r="G616" t="inlineStr">
        <is>
          <t>VÄRNAMO</t>
        </is>
      </c>
      <c r="H616" t="inlineStr">
        <is>
          <t>Övriga Aktiebolag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45873</v>
      </c>
      <c r="E617" s="1" t="n">
        <v>46236</v>
      </c>
      <c r="F617" t="inlineStr">
        <is>
          <t>JÖNKÖPINGS LÄN</t>
        </is>
      </c>
      <c r="G617" t="inlineStr">
        <is>
          <t>VÄRNAMO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45873</v>
      </c>
      <c r="E618" s="1" t="n">
        <v>46236</v>
      </c>
      <c r="F618" t="inlineStr">
        <is>
          <t>JÖNKÖPINGS LÄN</t>
        </is>
      </c>
      <c r="G618" t="inlineStr">
        <is>
          <t>VÄRNAMO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45876</v>
      </c>
      <c r="E619" s="1" t="n">
        <v>46236</v>
      </c>
      <c r="F619" t="inlineStr">
        <is>
          <t>JÖNKÖPINGS LÄN</t>
        </is>
      </c>
      <c r="G619" t="inlineStr">
        <is>
          <t>VÄRNAMO</t>
        </is>
      </c>
      <c r="I619" t="n">
        <v>14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46236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46236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46236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46236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46236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46236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46236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46236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46236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46236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46236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46236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46236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46236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46236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46236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46236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46236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46236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46236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46236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2026-08-02T01:56:04Z</dcterms:created>
  <dcterms:modified xmlns:dcterms="http://purl.org/dc/terms/" xmlns:xsi="http://www.w3.org/2001/XMLSchema-instance" xsi:type="dcterms:W3CDTF">2026-08-02T01:56:05Z</dcterms:modified>
</cp:coreProperties>
</file>