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46292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46292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46292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46292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46292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46292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46292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46292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46292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46292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46292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46292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46292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46292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46292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10842-2026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46078</v>
      </c>
      <c r="E22" s="1" t="n">
        <v>46292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HYPERLINK("https://klasma.github.io/Logging_0683/artfynd/A 10842-2026 artfynd.xlsx", "A 10842-2026")</f>
        <v/>
      </c>
      <c r="X22">
        <f>HYPERLINK("https://klasma.github.io/Logging_0683/kartor/A 10842-2026 karta.png", "A 10842-2026")</f>
        <v/>
      </c>
      <c r="Y22">
        <f>HYPERLINK("https://klasma.github.io/Logging_0683/kartor_geotiff/A 10842-2026 georefererad karta.tif", "A 10842-2026")</f>
        <v/>
      </c>
      <c r="AA22">
        <f>HYPERLINK("https://klasma.github.io/Logging_0683/klagomål/A 10842-2026 FSC-klagomål.docx", "A 10842-2026")</f>
        <v/>
      </c>
      <c r="AB22">
        <f>HYPERLINK("https://klasma.github.io/Logging_0683/klagomålsmail/A 10842-2026 FSC-klagomål mail.docx", "A 10842-2026")</f>
        <v/>
      </c>
      <c r="AC22">
        <f>HYPERLINK("https://klasma.github.io/Logging_0683/tillsyn/A 10842-2026 tillsynsbegäran.docx", "A 10842-2026")</f>
        <v/>
      </c>
      <c r="AD22">
        <f>HYPERLINK("https://klasma.github.io/Logging_0683/tillsynsmail/A 10842-2026 tillsynsbegäran mail.docx", "A 10842-2026")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46292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46292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46292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46292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27295-2026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46292</v>
      </c>
      <c r="F27" t="inlineStr">
        <is>
          <t>JÖNKÖPINGS LÄN</t>
        </is>
      </c>
      <c r="G27" t="inlineStr">
        <is>
          <t>VÄRNAMO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27295-2026 artfynd.xlsx", "A 27295-2026")</f>
        <v/>
      </c>
      <c r="X27">
        <f>HYPERLINK("https://klasma.github.io/Logging_0683/kartor/A 27295-2026 karta.png", "A 27295-2026")</f>
        <v/>
      </c>
      <c r="Y27">
        <f>HYPERLINK("https://klasma.github.io/Logging_0683/kartor_geotiff/A 27295-2026 georefererad karta.tif", "A 27295-2026")</f>
        <v/>
      </c>
      <c r="AA27">
        <f>HYPERLINK("https://klasma.github.io/Logging_0683/klagomål/A 27295-2026 FSC-klagomål.docx", "A 27295-2026")</f>
        <v/>
      </c>
      <c r="AB27">
        <f>HYPERLINK("https://klasma.github.io/Logging_0683/klagomålsmail/A 27295-2026 FSC-klagomål mail.docx", "A 27295-2026")</f>
        <v/>
      </c>
      <c r="AC27">
        <f>HYPERLINK("https://klasma.github.io/Logging_0683/tillsyn/A 27295-2026 tillsynsbegäran.docx", "A 27295-2026")</f>
        <v/>
      </c>
      <c r="AD27">
        <f>HYPERLINK("https://klasma.github.io/Logging_0683/tillsynsmail/A 27295-2026 tillsynsbegäran mail.docx", "A 27295-2026")</f>
        <v/>
      </c>
    </row>
    <row r="28" ht="15" customHeight="1">
      <c r="A28" t="inlineStr">
        <is>
          <t>A 28002-2026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46292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26.9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Rostfläck</t>
        </is>
      </c>
      <c r="W28">
        <f>HYPERLINK("https://klasma.github.io/Logging_0683/artfynd/A 28002-2026 artfynd.xlsx", "A 28002-2026")</f>
        <v/>
      </c>
      <c r="X28">
        <f>HYPERLINK("https://klasma.github.io/Logging_0683/kartor/A 28002-2026 karta.png", "A 28002-2026")</f>
        <v/>
      </c>
      <c r="Y28">
        <f>HYPERLINK("https://klasma.github.io/Logging_0683/kartor_geotiff/A 28002-2026 georefererad karta.tif", "A 28002-2026")</f>
        <v/>
      </c>
      <c r="AA28">
        <f>HYPERLINK("https://klasma.github.io/Logging_0683/klagomål/A 28002-2026 FSC-klagomål.docx", "A 28002-2026")</f>
        <v/>
      </c>
      <c r="AB28">
        <f>HYPERLINK("https://klasma.github.io/Logging_0683/klagomålsmail/A 28002-2026 FSC-klagomål mail.docx", "A 28002-2026")</f>
        <v/>
      </c>
      <c r="AC28">
        <f>HYPERLINK("https://klasma.github.io/Logging_0683/tillsyn/A 28002-2026 tillsynsbegäran.docx", "A 28002-2026")</f>
        <v/>
      </c>
      <c r="AD28">
        <f>HYPERLINK("https://klasma.github.io/Logging_0683/tillsynsmail/A 28002-2026 tillsynsbegäran mail.docx", "A 28002-2026")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46292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36222-2026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46268</v>
      </c>
      <c r="E30" s="1" t="n">
        <v>46292</v>
      </c>
      <c r="F30" t="inlineStr">
        <is>
          <t>JÖNKÖPINGS LÄN</t>
        </is>
      </c>
      <c r="G30" t="inlineStr">
        <is>
          <t>VÄRNAMO</t>
        </is>
      </c>
      <c r="I30" t="n">
        <v>4.2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Borsttåg</t>
        </is>
      </c>
      <c r="W30">
        <f>HYPERLINK("https://klasma.github.io/Logging_0683/artfynd/A 36222-2026 artfynd.xlsx", "A 36222-2026")</f>
        <v/>
      </c>
      <c r="X30">
        <f>HYPERLINK("https://klasma.github.io/Logging_0683/kartor/A 36222-2026 karta.png", "A 36222-2026")</f>
        <v/>
      </c>
      <c r="Y30">
        <f>HYPERLINK("https://klasma.github.io/Logging_0683/kartor_geotiff/A 36222-2026 georefererad karta.tif", "A 36222-2026")</f>
        <v/>
      </c>
      <c r="AA30">
        <f>HYPERLINK("https://klasma.github.io/Logging_0683/klagomål/A 36222-2026 FSC-klagomål.docx", "A 36222-2026")</f>
        <v/>
      </c>
      <c r="AB30">
        <f>HYPERLINK("https://klasma.github.io/Logging_0683/klagomålsmail/A 36222-2026 FSC-klagomål mail.docx", "A 36222-2026")</f>
        <v/>
      </c>
      <c r="AC30">
        <f>HYPERLINK("https://klasma.github.io/Logging_0683/tillsyn/A 36222-2026 tillsynsbegäran.docx", "A 36222-2026")</f>
        <v/>
      </c>
      <c r="AD30">
        <f>HYPERLINK("https://klasma.github.io/Logging_0683/tillsynsmail/A 36222-2026 tillsynsbegäran mail.docx", "A 36222-2026")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46292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46292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46292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46292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46292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46292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46292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46292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46292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46292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46292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46292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46292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46292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46292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46292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46292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46292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46292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46292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46292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46292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46292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46292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56500-2021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46292</v>
      </c>
      <c r="F55" t="inlineStr">
        <is>
          <t>JÖNKÖPINGS LÄN</t>
        </is>
      </c>
      <c r="G55" t="inlineStr">
        <is>
          <t>VÄRNAMO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46292</v>
      </c>
      <c r="F56" t="inlineStr">
        <is>
          <t>JÖNKÖPINGS LÄN</t>
        </is>
      </c>
      <c r="G56" t="inlineStr">
        <is>
          <t>VÄRNAMO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46292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46292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46292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44558</v>
      </c>
      <c r="E60" s="1" t="n">
        <v>46292</v>
      </c>
      <c r="F60" t="inlineStr">
        <is>
          <t>JÖNKÖPINGS LÄN</t>
        </is>
      </c>
      <c r="G60" t="inlineStr">
        <is>
          <t>VÄRNAMO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46292</v>
      </c>
      <c r="F61" t="inlineStr">
        <is>
          <t>JÖNKÖPINGS LÄN</t>
        </is>
      </c>
      <c r="G61" t="inlineStr">
        <is>
          <t>VÄRNAMO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46292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44729</v>
      </c>
      <c r="E63" s="1" t="n">
        <v>46292</v>
      </c>
      <c r="F63" t="inlineStr">
        <is>
          <t>JÖNKÖPINGS LÄN</t>
        </is>
      </c>
      <c r="G63" t="inlineStr">
        <is>
          <t>VÄRNAMO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44753</v>
      </c>
      <c r="E64" s="1" t="n">
        <v>46292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46292</v>
      </c>
      <c r="F65" t="inlineStr">
        <is>
          <t>JÖNKÖPINGS LÄN</t>
        </is>
      </c>
      <c r="G65" t="inlineStr">
        <is>
          <t>VÄRNAMO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46292</v>
      </c>
      <c r="F66" t="inlineStr">
        <is>
          <t>JÖNKÖPINGS LÄN</t>
        </is>
      </c>
      <c r="G66" t="inlineStr">
        <is>
          <t>VÄRNAMO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46292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44607</v>
      </c>
      <c r="E68" s="1" t="n">
        <v>46292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46292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46292</v>
      </c>
      <c r="F70" t="inlineStr">
        <is>
          <t>JÖNKÖPINGS LÄN</t>
        </is>
      </c>
      <c r="G70" t="inlineStr">
        <is>
          <t>VÄRNAMO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46292</v>
      </c>
      <c r="F71" t="inlineStr">
        <is>
          <t>JÖNKÖPINGS LÄN</t>
        </is>
      </c>
      <c r="G71" t="inlineStr">
        <is>
          <t>VÄRNAMO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46292</v>
      </c>
      <c r="F72" t="inlineStr">
        <is>
          <t>JÖNKÖPINGS LÄN</t>
        </is>
      </c>
      <c r="G72" t="inlineStr">
        <is>
          <t>VÄRNAMO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46292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46292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46292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46292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46292</v>
      </c>
      <c r="F77" t="inlineStr">
        <is>
          <t>JÖNKÖPINGS LÄN</t>
        </is>
      </c>
      <c r="G77" t="inlineStr">
        <is>
          <t>VÄRNAMO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46292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46292</v>
      </c>
      <c r="F79" t="inlineStr">
        <is>
          <t>JÖNKÖPINGS LÄN</t>
        </is>
      </c>
      <c r="G79" t="inlineStr">
        <is>
          <t>VÄRNAMO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74127-2021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44557</v>
      </c>
      <c r="E80" s="1" t="n">
        <v>46292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46292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46292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46292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46292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44502</v>
      </c>
      <c r="E85" s="1" t="n">
        <v>46292</v>
      </c>
      <c r="F85" t="inlineStr">
        <is>
          <t>JÖNKÖPINGS LÄN</t>
        </is>
      </c>
      <c r="G85" t="inlineStr">
        <is>
          <t>VÄRNAMO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46292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9355-2022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44616</v>
      </c>
      <c r="E87" s="1" t="n">
        <v>46292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46292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46292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46292</v>
      </c>
      <c r="F90" t="inlineStr">
        <is>
          <t>JÖNKÖPINGS LÄN</t>
        </is>
      </c>
      <c r="G90" t="inlineStr">
        <is>
          <t>VÄRNAMO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46292</v>
      </c>
      <c r="F91" t="inlineStr">
        <is>
          <t>JÖNKÖPINGS LÄN</t>
        </is>
      </c>
      <c r="G91" t="inlineStr">
        <is>
          <t>VÄRNAMO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46292</v>
      </c>
      <c r="F92" t="inlineStr">
        <is>
          <t>JÖNKÖPINGS LÄN</t>
        </is>
      </c>
      <c r="G92" t="inlineStr">
        <is>
          <t>VÄRNAMO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46292</v>
      </c>
      <c r="F93" t="inlineStr">
        <is>
          <t>JÖNKÖPINGS LÄN</t>
        </is>
      </c>
      <c r="G93" t="inlineStr">
        <is>
          <t>VÄRNAMO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40486-2022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44823</v>
      </c>
      <c r="E94" s="1" t="n">
        <v>46292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46292</v>
      </c>
      <c r="F95" t="inlineStr">
        <is>
          <t>JÖNKÖPINGS LÄN</t>
        </is>
      </c>
      <c r="G95" t="inlineStr">
        <is>
          <t>VÄRNAMO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45324</v>
      </c>
      <c r="E96" s="1" t="n">
        <v>46292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46292</v>
      </c>
      <c r="F97" t="inlineStr">
        <is>
          <t>JÖNKÖPINGS LÄN</t>
        </is>
      </c>
      <c r="G97" t="inlineStr">
        <is>
          <t>VÄRNAMO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46292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46292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45406</v>
      </c>
      <c r="E100" s="1" t="n">
        <v>46292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46292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46292</v>
      </c>
      <c r="F102" t="inlineStr">
        <is>
          <t>JÖNKÖPINGS LÄN</t>
        </is>
      </c>
      <c r="G102" t="inlineStr">
        <is>
          <t>VÄRNAMO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46292</v>
      </c>
      <c r="F103" t="inlineStr">
        <is>
          <t>JÖNKÖPINGS LÄN</t>
        </is>
      </c>
      <c r="G103" t="inlineStr">
        <is>
          <t>VÄRNAMO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46292</v>
      </c>
      <c r="F104" t="inlineStr">
        <is>
          <t>JÖNKÖPINGS LÄN</t>
        </is>
      </c>
      <c r="G104" t="inlineStr">
        <is>
          <t>VÄRNAMO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45302</v>
      </c>
      <c r="E105" s="1" t="n">
        <v>46292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46292</v>
      </c>
      <c r="F106" t="inlineStr">
        <is>
          <t>JÖNKÖPINGS LÄN</t>
        </is>
      </c>
      <c r="G106" t="inlineStr">
        <is>
          <t>VÄRNAMO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46292</v>
      </c>
      <c r="F107" t="inlineStr">
        <is>
          <t>JÖNKÖPINGS LÄN</t>
        </is>
      </c>
      <c r="G107" t="inlineStr">
        <is>
          <t>VÄRNAMO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47987-2022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44853</v>
      </c>
      <c r="E108" s="1" t="n">
        <v>46292</v>
      </c>
      <c r="F108" t="inlineStr">
        <is>
          <t>JÖNKÖPINGS LÄN</t>
        </is>
      </c>
      <c r="G108" t="inlineStr">
        <is>
          <t>VÄRNAMO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46292</v>
      </c>
      <c r="F109" t="inlineStr">
        <is>
          <t>JÖNKÖPINGS LÄN</t>
        </is>
      </c>
      <c r="G109" t="inlineStr">
        <is>
          <t>VÄRNAMO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46292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46292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46292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46292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46292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71233-2021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46292</v>
      </c>
      <c r="F115" t="inlineStr">
        <is>
          <t>JÖNKÖPINGS LÄN</t>
        </is>
      </c>
      <c r="G115" t="inlineStr">
        <is>
          <t>VÄRNAMO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46292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46292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46292</v>
      </c>
      <c r="F118" t="inlineStr">
        <is>
          <t>JÖNKÖPINGS LÄN</t>
        </is>
      </c>
      <c r="G118" t="inlineStr">
        <is>
          <t>VÄRNAMO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46292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46292</v>
      </c>
      <c r="F120" t="inlineStr">
        <is>
          <t>JÖNKÖPINGS LÄN</t>
        </is>
      </c>
      <c r="G120" t="inlineStr">
        <is>
          <t>VÄRNAMO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44966</v>
      </c>
      <c r="E121" s="1" t="n">
        <v>46292</v>
      </c>
      <c r="F121" t="inlineStr">
        <is>
          <t>JÖNKÖPINGS LÄN</t>
        </is>
      </c>
      <c r="G121" t="inlineStr">
        <is>
          <t>VÄRNAMO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46029</v>
      </c>
      <c r="E122" s="1" t="n">
        <v>46292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46292</v>
      </c>
      <c r="F123" t="inlineStr">
        <is>
          <t>JÖNKÖPINGS LÄN</t>
        </is>
      </c>
      <c r="G123" t="inlineStr">
        <is>
          <t>VÄRNAMO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46292</v>
      </c>
      <c r="F124" t="inlineStr">
        <is>
          <t>JÖNKÖPINGS LÄN</t>
        </is>
      </c>
      <c r="G124" t="inlineStr">
        <is>
          <t>VÄRNAMO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46292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46292</v>
      </c>
      <c r="F126" t="inlineStr">
        <is>
          <t>JÖNKÖPINGS LÄN</t>
        </is>
      </c>
      <c r="G126" t="inlineStr">
        <is>
          <t>VÄRNAMO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46292</v>
      </c>
      <c r="F127" t="inlineStr">
        <is>
          <t>JÖNKÖPINGS LÄN</t>
        </is>
      </c>
      <c r="G127" t="inlineStr">
        <is>
          <t>VÄRNAMO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46292</v>
      </c>
      <c r="F128" t="inlineStr">
        <is>
          <t>JÖNKÖPINGS LÄN</t>
        </is>
      </c>
      <c r="G128" t="inlineStr">
        <is>
          <t>VÄRNAMO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46292</v>
      </c>
      <c r="F129" t="inlineStr">
        <is>
          <t>JÖNKÖPINGS LÄN</t>
        </is>
      </c>
      <c r="G129" t="inlineStr">
        <is>
          <t>VÄRNAMO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46292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46292</v>
      </c>
      <c r="F131" t="inlineStr">
        <is>
          <t>JÖNKÖPINGS LÄN</t>
        </is>
      </c>
      <c r="G131" t="inlineStr">
        <is>
          <t>VÄRNAMO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46292</v>
      </c>
      <c r="F132" t="inlineStr">
        <is>
          <t>JÖNKÖPINGS LÄN</t>
        </is>
      </c>
      <c r="G132" t="inlineStr">
        <is>
          <t>VÄRNAMO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46292</v>
      </c>
      <c r="F133" t="inlineStr">
        <is>
          <t>JÖNKÖPINGS LÄN</t>
        </is>
      </c>
      <c r="G133" t="inlineStr">
        <is>
          <t>VÄRNAMO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45853</v>
      </c>
      <c r="E134" s="1" t="n">
        <v>46292</v>
      </c>
      <c r="F134" t="inlineStr">
        <is>
          <t>JÖNKÖPINGS LÄN</t>
        </is>
      </c>
      <c r="G134" t="inlineStr">
        <is>
          <t>VÄRNAMO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46292</v>
      </c>
      <c r="F135" t="inlineStr">
        <is>
          <t>JÖNKÖPINGS LÄN</t>
        </is>
      </c>
      <c r="G135" t="inlineStr">
        <is>
          <t>VÄRNAMO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46292</v>
      </c>
      <c r="F136" t="inlineStr">
        <is>
          <t>JÖNKÖPINGS LÄN</t>
        </is>
      </c>
      <c r="G136" t="inlineStr">
        <is>
          <t>VÄRNAMO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46292</v>
      </c>
      <c r="F137" t="inlineStr">
        <is>
          <t>JÖNKÖPINGS LÄN</t>
        </is>
      </c>
      <c r="G137" t="inlineStr">
        <is>
          <t>VÄRNAMO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46292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46292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46292</v>
      </c>
      <c r="F140" t="inlineStr">
        <is>
          <t>JÖNKÖPINGS LÄN</t>
        </is>
      </c>
      <c r="G140" t="inlineStr">
        <is>
          <t>VÄRNAMO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46292</v>
      </c>
      <c r="F141" t="inlineStr">
        <is>
          <t>JÖNKÖPINGS LÄN</t>
        </is>
      </c>
      <c r="G141" t="inlineStr">
        <is>
          <t>VÄRNAMO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46292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46292</v>
      </c>
      <c r="F143" t="inlineStr">
        <is>
          <t>JÖNKÖPINGS LÄN</t>
        </is>
      </c>
      <c r="G143" t="inlineStr">
        <is>
          <t>VÄRNAMO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46292</v>
      </c>
      <c r="F144" t="inlineStr">
        <is>
          <t>JÖNKÖPINGS LÄN</t>
        </is>
      </c>
      <c r="G144" t="inlineStr">
        <is>
          <t>VÄRNAMO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46292</v>
      </c>
      <c r="F145" t="inlineStr">
        <is>
          <t>JÖNKÖPINGS LÄN</t>
        </is>
      </c>
      <c r="G145" t="inlineStr">
        <is>
          <t>VÄRNAMO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46292</v>
      </c>
      <c r="F146" t="inlineStr">
        <is>
          <t>JÖNKÖPINGS LÄN</t>
        </is>
      </c>
      <c r="G146" t="inlineStr">
        <is>
          <t>VÄRNAMO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46292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46292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46292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46292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46292</v>
      </c>
      <c r="F151" t="inlineStr">
        <is>
          <t>JÖNKÖPINGS LÄN</t>
        </is>
      </c>
      <c r="G151" t="inlineStr">
        <is>
          <t>VÄRNAMO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46292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46292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46292</v>
      </c>
      <c r="F154" t="inlineStr">
        <is>
          <t>JÖNKÖPINGS LÄN</t>
        </is>
      </c>
      <c r="G154" t="inlineStr">
        <is>
          <t>VÄRNAMO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46292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46292</v>
      </c>
      <c r="F156" t="inlineStr">
        <is>
          <t>JÖNKÖPINGS LÄN</t>
        </is>
      </c>
      <c r="G156" t="inlineStr">
        <is>
          <t>VÄRNAMO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46292</v>
      </c>
      <c r="F157" t="inlineStr">
        <is>
          <t>JÖNKÖPINGS LÄN</t>
        </is>
      </c>
      <c r="G157" t="inlineStr">
        <is>
          <t>VÄRNAMO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46292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46292</v>
      </c>
      <c r="F159" t="inlineStr">
        <is>
          <t>JÖNKÖPINGS LÄN</t>
        </is>
      </c>
      <c r="G159" t="inlineStr">
        <is>
          <t>VÄRNAMO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46292</v>
      </c>
      <c r="F160" t="inlineStr">
        <is>
          <t>JÖNKÖPINGS LÄN</t>
        </is>
      </c>
      <c r="G160" t="inlineStr">
        <is>
          <t>VÄRNAMO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46292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46292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46292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46050</v>
      </c>
      <c r="E164" s="1" t="n">
        <v>46292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46292</v>
      </c>
      <c r="F165" t="inlineStr">
        <is>
          <t>JÖNKÖPINGS LÄN</t>
        </is>
      </c>
      <c r="G165" t="inlineStr">
        <is>
          <t>VÄRNAMO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8968-2024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45357</v>
      </c>
      <c r="E166" s="1" t="n">
        <v>46292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46292</v>
      </c>
      <c r="F167" t="inlineStr">
        <is>
          <t>JÖNKÖPINGS LÄN</t>
        </is>
      </c>
      <c r="G167" t="inlineStr">
        <is>
          <t>VÄRNAMO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46292</v>
      </c>
      <c r="F168" t="inlineStr">
        <is>
          <t>JÖNKÖPINGS LÄN</t>
        </is>
      </c>
      <c r="G168" t="inlineStr">
        <is>
          <t>VÄRNAMO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47643-2023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46292</v>
      </c>
      <c r="F169" t="inlineStr">
        <is>
          <t>JÖNKÖPINGS LÄN</t>
        </is>
      </c>
      <c r="G169" t="inlineStr">
        <is>
          <t>VÄRNAMO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46292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46292</v>
      </c>
      <c r="F171" t="inlineStr">
        <is>
          <t>JÖNKÖPINGS LÄN</t>
        </is>
      </c>
      <c r="G171" t="inlineStr">
        <is>
          <t>VÄRNAMO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44949</v>
      </c>
      <c r="E172" s="1" t="n">
        <v>46292</v>
      </c>
      <c r="F172" t="inlineStr">
        <is>
          <t>JÖNKÖPINGS LÄN</t>
        </is>
      </c>
      <c r="G172" t="inlineStr">
        <is>
          <t>VÄRNAMO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46292</v>
      </c>
      <c r="F173" t="inlineStr">
        <is>
          <t>JÖNKÖPINGS LÄN</t>
        </is>
      </c>
      <c r="G173" t="inlineStr">
        <is>
          <t>VÄRNAMO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46292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46292</v>
      </c>
      <c r="F175" t="inlineStr">
        <is>
          <t>JÖNKÖPINGS LÄN</t>
        </is>
      </c>
      <c r="G175" t="inlineStr">
        <is>
          <t>VÄRNAMO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46292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46292</v>
      </c>
      <c r="F177" t="inlineStr">
        <is>
          <t>JÖNKÖPINGS LÄN</t>
        </is>
      </c>
      <c r="G177" t="inlineStr">
        <is>
          <t>VÄRNAMO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46292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46292</v>
      </c>
      <c r="F179" t="inlineStr">
        <is>
          <t>JÖNKÖPINGS LÄN</t>
        </is>
      </c>
      <c r="G179" t="inlineStr">
        <is>
          <t>VÄRNAMO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46292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46292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46292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46292</v>
      </c>
      <c r="F183" t="inlineStr">
        <is>
          <t>JÖNKÖPINGS LÄN</t>
        </is>
      </c>
      <c r="G183" t="inlineStr">
        <is>
          <t>VÄRNAMO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46292</v>
      </c>
      <c r="F184" t="inlineStr">
        <is>
          <t>JÖNKÖPINGS LÄN</t>
        </is>
      </c>
      <c r="G184" t="inlineStr">
        <is>
          <t>VÄRNAMO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46292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46292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46292</v>
      </c>
      <c r="F187" t="inlineStr">
        <is>
          <t>JÖNKÖPINGS LÄN</t>
        </is>
      </c>
      <c r="G187" t="inlineStr">
        <is>
          <t>VÄRNAMO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46292</v>
      </c>
      <c r="F188" t="inlineStr">
        <is>
          <t>JÖNKÖPINGS LÄN</t>
        </is>
      </c>
      <c r="G188" t="inlineStr">
        <is>
          <t>VÄRNAMO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46292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46292</v>
      </c>
      <c r="F190" t="inlineStr">
        <is>
          <t>JÖNKÖPINGS LÄN</t>
        </is>
      </c>
      <c r="G190" t="inlineStr">
        <is>
          <t>VÄRNAMO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45007</v>
      </c>
      <c r="E191" s="1" t="n">
        <v>46292</v>
      </c>
      <c r="F191" t="inlineStr">
        <is>
          <t>JÖNKÖPINGS LÄN</t>
        </is>
      </c>
      <c r="G191" t="inlineStr">
        <is>
          <t>VÄRNAMO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74026-2021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46292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74027-2021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44553</v>
      </c>
      <c r="E193" s="1" t="n">
        <v>46292</v>
      </c>
      <c r="F193" t="inlineStr">
        <is>
          <t>JÖNKÖPINGS LÄN</t>
        </is>
      </c>
      <c r="G193" t="inlineStr">
        <is>
          <t>VÄRNAMO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46292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46292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45217</v>
      </c>
      <c r="E196" s="1" t="n">
        <v>46292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46292</v>
      </c>
      <c r="F197" t="inlineStr">
        <is>
          <t>JÖNKÖPINGS LÄN</t>
        </is>
      </c>
      <c r="G197" t="inlineStr">
        <is>
          <t>VÄRNAMO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46292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46292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46292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46292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46292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46292</v>
      </c>
      <c r="F203" t="inlineStr">
        <is>
          <t>JÖNKÖPINGS LÄN</t>
        </is>
      </c>
      <c r="G203" t="inlineStr">
        <is>
          <t>VÄRNAMO</t>
        </is>
      </c>
      <c r="H203" t="inlineStr">
        <is>
          <t>Sveaskog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46292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46292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46292</v>
      </c>
      <c r="F206" t="inlineStr">
        <is>
          <t>JÖNKÖPINGS LÄN</t>
        </is>
      </c>
      <c r="G206" t="inlineStr">
        <is>
          <t>VÄRNAMO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46292</v>
      </c>
      <c r="F207" t="inlineStr">
        <is>
          <t>JÖNKÖPINGS LÄN</t>
        </is>
      </c>
      <c r="G207" t="inlineStr">
        <is>
          <t>VÄRNAMO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46292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46292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46292</v>
      </c>
      <c r="F210" t="inlineStr">
        <is>
          <t>JÖNKÖPINGS LÄN</t>
        </is>
      </c>
      <c r="G210" t="inlineStr">
        <is>
          <t>VÄRNAMO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46292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46292</v>
      </c>
      <c r="F212" t="inlineStr">
        <is>
          <t>JÖNKÖPINGS LÄN</t>
        </is>
      </c>
      <c r="G212" t="inlineStr">
        <is>
          <t>VÄRNAMO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46292</v>
      </c>
      <c r="F213" t="inlineStr">
        <is>
          <t>JÖNKÖPINGS LÄN</t>
        </is>
      </c>
      <c r="G213" t="inlineStr">
        <is>
          <t>VÄRNAMO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46292</v>
      </c>
      <c r="F214" t="inlineStr">
        <is>
          <t>JÖNKÖPINGS LÄN</t>
        </is>
      </c>
      <c r="G214" t="inlineStr">
        <is>
          <t>VÄRNAMO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12095-2026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46086</v>
      </c>
      <c r="E215" s="1" t="n">
        <v>46292</v>
      </c>
      <c r="F215" t="inlineStr">
        <is>
          <t>JÖNKÖPINGS LÄN</t>
        </is>
      </c>
      <c r="G215" t="inlineStr">
        <is>
          <t>VÄRNAMO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46292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46292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46292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46292</v>
      </c>
      <c r="F219" t="inlineStr">
        <is>
          <t>JÖNKÖPINGS LÄN</t>
        </is>
      </c>
      <c r="G219" t="inlineStr">
        <is>
          <t>VÄRNAMO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46292</v>
      </c>
      <c r="F220" t="inlineStr">
        <is>
          <t>JÖNKÖPINGS LÄN</t>
        </is>
      </c>
      <c r="G220" t="inlineStr">
        <is>
          <t>VÄRNAMO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54254-2021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44470</v>
      </c>
      <c r="E221" s="1" t="n">
        <v>46292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46292</v>
      </c>
      <c r="F222" t="inlineStr">
        <is>
          <t>JÖNKÖPINGS LÄN</t>
        </is>
      </c>
      <c r="G222" t="inlineStr">
        <is>
          <t>VÄRNAMO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46292</v>
      </c>
      <c r="F223" t="inlineStr">
        <is>
          <t>JÖNKÖPINGS LÄN</t>
        </is>
      </c>
      <c r="G223" t="inlineStr">
        <is>
          <t>VÄRNAMO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46292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46292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46292</v>
      </c>
      <c r="F226" t="inlineStr">
        <is>
          <t>JÖNKÖPINGS LÄN</t>
        </is>
      </c>
      <c r="G226" t="inlineStr">
        <is>
          <t>VÄRNAMO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46292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46292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46292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46292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46292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46292</v>
      </c>
      <c r="F232" t="inlineStr">
        <is>
          <t>JÖNKÖPINGS LÄN</t>
        </is>
      </c>
      <c r="G232" t="inlineStr">
        <is>
          <t>VÄRNAMO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46292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46292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46292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46292</v>
      </c>
      <c r="F236" t="inlineStr">
        <is>
          <t>JÖNKÖPINGS LÄN</t>
        </is>
      </c>
      <c r="G236" t="inlineStr">
        <is>
          <t>VÄRNAMO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46292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45270</v>
      </c>
      <c r="E238" s="1" t="n">
        <v>46292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15101-2026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46101</v>
      </c>
      <c r="E239" s="1" t="n">
        <v>46292</v>
      </c>
      <c r="F239" t="inlineStr">
        <is>
          <t>JÖNKÖPINGS LÄN</t>
        </is>
      </c>
      <c r="G239" t="inlineStr">
        <is>
          <t>VÄRNAMO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46292</v>
      </c>
      <c r="F240" t="inlineStr">
        <is>
          <t>JÖNKÖPINGS LÄN</t>
        </is>
      </c>
      <c r="G240" t="inlineStr">
        <is>
          <t>VÄRNAMO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46292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46292</v>
      </c>
      <c r="F242" t="inlineStr">
        <is>
          <t>JÖNKÖPINGS LÄN</t>
        </is>
      </c>
      <c r="G242" t="inlineStr">
        <is>
          <t>VÄRNAMO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46292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46292</v>
      </c>
      <c r="F244" t="inlineStr">
        <is>
          <t>JÖNKÖPINGS LÄN</t>
        </is>
      </c>
      <c r="G244" t="inlineStr">
        <is>
          <t>VÄRNAMO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46292</v>
      </c>
      <c r="F245" t="inlineStr">
        <is>
          <t>JÖNKÖPINGS LÄN</t>
        </is>
      </c>
      <c r="G245" t="inlineStr">
        <is>
          <t>VÄRNAMO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46292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46292</v>
      </c>
      <c r="F247" t="inlineStr">
        <is>
          <t>JÖNKÖPINGS LÄN</t>
        </is>
      </c>
      <c r="G247" t="inlineStr">
        <is>
          <t>VÄRNAMO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46292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46292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46292</v>
      </c>
      <c r="F250" t="inlineStr">
        <is>
          <t>JÖNKÖPINGS LÄN</t>
        </is>
      </c>
      <c r="G250" t="inlineStr">
        <is>
          <t>VÄRNAMO</t>
        </is>
      </c>
      <c r="H250" t="inlineStr">
        <is>
          <t>Kommuner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46292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46292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23838-2022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46292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46292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45012</v>
      </c>
      <c r="E255" s="1" t="n">
        <v>46292</v>
      </c>
      <c r="F255" t="inlineStr">
        <is>
          <t>JÖNKÖPINGS LÄN</t>
        </is>
      </c>
      <c r="G255" t="inlineStr">
        <is>
          <t>VÄRNAMO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46292</v>
      </c>
      <c r="F256" t="inlineStr">
        <is>
          <t>JÖNKÖPINGS LÄN</t>
        </is>
      </c>
      <c r="G256" t="inlineStr">
        <is>
          <t>VÄRNAMO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46292</v>
      </c>
      <c r="F257" t="inlineStr">
        <is>
          <t>JÖNKÖPINGS LÄN</t>
        </is>
      </c>
      <c r="G257" t="inlineStr">
        <is>
          <t>VÄRNAMO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46292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46292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46292</v>
      </c>
      <c r="F260" t="inlineStr">
        <is>
          <t>JÖNKÖPINGS LÄN</t>
        </is>
      </c>
      <c r="G260" t="inlineStr">
        <is>
          <t>VÄRNAMO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46292</v>
      </c>
      <c r="F261" t="inlineStr">
        <is>
          <t>JÖNKÖPINGS LÄN</t>
        </is>
      </c>
      <c r="G261" t="inlineStr">
        <is>
          <t>VÄRNAMO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46292</v>
      </c>
      <c r="F262" t="inlineStr">
        <is>
          <t>JÖNKÖPINGS LÄN</t>
        </is>
      </c>
      <c r="G262" t="inlineStr">
        <is>
          <t>VÄRNAMO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46292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46292</v>
      </c>
      <c r="F264" t="inlineStr">
        <is>
          <t>JÖNKÖPINGS LÄN</t>
        </is>
      </c>
      <c r="G264" t="inlineStr">
        <is>
          <t>VÄRNAMO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46292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46292</v>
      </c>
      <c r="F266" t="inlineStr">
        <is>
          <t>JÖNKÖPINGS LÄN</t>
        </is>
      </c>
      <c r="G266" t="inlineStr">
        <is>
          <t>VÄRNAMO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46292</v>
      </c>
      <c r="F267" t="inlineStr">
        <is>
          <t>JÖNKÖPINGS LÄN</t>
        </is>
      </c>
      <c r="G267" t="inlineStr">
        <is>
          <t>VÄRNAMO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46292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45987</v>
      </c>
      <c r="E269" s="1" t="n">
        <v>46292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46292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46292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46292</v>
      </c>
      <c r="F272" t="inlineStr">
        <is>
          <t>JÖNKÖPINGS LÄN</t>
        </is>
      </c>
      <c r="G272" t="inlineStr">
        <is>
          <t>VÄRNAMO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46292</v>
      </c>
      <c r="F273" t="inlineStr">
        <is>
          <t>JÖNKÖPINGS LÄN</t>
        </is>
      </c>
      <c r="G273" t="inlineStr">
        <is>
          <t>VÄRNAMO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46292</v>
      </c>
      <c r="F274" t="inlineStr">
        <is>
          <t>JÖNKÖPINGS LÄN</t>
        </is>
      </c>
      <c r="G274" t="inlineStr">
        <is>
          <t>VÄRNAMO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46292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46292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46292</v>
      </c>
      <c r="F277" t="inlineStr">
        <is>
          <t>JÖNKÖPINGS LÄN</t>
        </is>
      </c>
      <c r="G277" t="inlineStr">
        <is>
          <t>VÄRNAMO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46292</v>
      </c>
      <c r="F278" t="inlineStr">
        <is>
          <t>JÖNKÖPINGS LÄN</t>
        </is>
      </c>
      <c r="G278" t="inlineStr">
        <is>
          <t>VÄRNAMO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46292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46292</v>
      </c>
      <c r="F280" t="inlineStr">
        <is>
          <t>JÖNKÖPINGS LÄN</t>
        </is>
      </c>
      <c r="G280" t="inlineStr">
        <is>
          <t>VÄRNAMO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46292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45876</v>
      </c>
      <c r="E282" s="1" t="n">
        <v>46292</v>
      </c>
      <c r="F282" t="inlineStr">
        <is>
          <t>JÖNKÖPINGS LÄN</t>
        </is>
      </c>
      <c r="G282" t="inlineStr">
        <is>
          <t>VÄRNAMO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46292</v>
      </c>
      <c r="F283" t="inlineStr">
        <is>
          <t>JÖNKÖPINGS LÄN</t>
        </is>
      </c>
      <c r="G283" t="inlineStr">
        <is>
          <t>VÄRNAMO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46292</v>
      </c>
      <c r="F284" t="inlineStr">
        <is>
          <t>JÖNKÖPINGS LÄN</t>
        </is>
      </c>
      <c r="G284" t="inlineStr">
        <is>
          <t>VÄRNAMO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46292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46292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46292</v>
      </c>
      <c r="F287" t="inlineStr">
        <is>
          <t>JÖNKÖPINGS LÄN</t>
        </is>
      </c>
      <c r="G287" t="inlineStr">
        <is>
          <t>VÄRNAMO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46292</v>
      </c>
      <c r="F288" t="inlineStr">
        <is>
          <t>JÖNKÖPINGS LÄN</t>
        </is>
      </c>
      <c r="G288" t="inlineStr">
        <is>
          <t>VÄRNAMO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46292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46292</v>
      </c>
      <c r="F290" t="inlineStr">
        <is>
          <t>JÖNKÖPINGS LÄN</t>
        </is>
      </c>
      <c r="G290" t="inlineStr">
        <is>
          <t>VÄRNAMO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44797</v>
      </c>
      <c r="E291" s="1" t="n">
        <v>46292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46292</v>
      </c>
      <c r="F292" t="inlineStr">
        <is>
          <t>JÖNKÖPINGS LÄN</t>
        </is>
      </c>
      <c r="G292" t="inlineStr">
        <is>
          <t>VÄRNAMO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46292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46292</v>
      </c>
      <c r="F294" t="inlineStr">
        <is>
          <t>JÖNKÖPINGS LÄN</t>
        </is>
      </c>
      <c r="G294" t="inlineStr">
        <is>
          <t>VÄRNAMO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46292</v>
      </c>
      <c r="F295" t="inlineStr">
        <is>
          <t>JÖNKÖPINGS LÄN</t>
        </is>
      </c>
      <c r="G295" t="inlineStr">
        <is>
          <t>VÄRNAMO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44473</v>
      </c>
      <c r="E296" s="1" t="n">
        <v>46292</v>
      </c>
      <c r="F296" t="inlineStr">
        <is>
          <t>JÖNKÖPINGS LÄN</t>
        </is>
      </c>
      <c r="G296" t="inlineStr">
        <is>
          <t>VÄRNAMO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46292</v>
      </c>
      <c r="F297" t="inlineStr">
        <is>
          <t>JÖNKÖPINGS LÄN</t>
        </is>
      </c>
      <c r="G297" t="inlineStr">
        <is>
          <t>VÄRNAMO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46292</v>
      </c>
      <c r="F298" t="inlineStr">
        <is>
          <t>JÖNKÖPINGS LÄN</t>
        </is>
      </c>
      <c r="G298" t="inlineStr">
        <is>
          <t>VÄRNAMO</t>
        </is>
      </c>
      <c r="H298" t="inlineStr">
        <is>
          <t>Kyrkan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44846</v>
      </c>
      <c r="E299" s="1" t="n">
        <v>46292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45036</v>
      </c>
      <c r="E300" s="1" t="n">
        <v>46292</v>
      </c>
      <c r="F300" t="inlineStr">
        <is>
          <t>JÖNKÖPINGS LÄN</t>
        </is>
      </c>
      <c r="G300" t="inlineStr">
        <is>
          <t>VÄRNAMO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46292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46292</v>
      </c>
      <c r="F302" t="inlineStr">
        <is>
          <t>JÖNKÖPINGS LÄN</t>
        </is>
      </c>
      <c r="G302" t="inlineStr">
        <is>
          <t>VÄRNAMO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24702-2022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44727</v>
      </c>
      <c r="E303" s="1" t="n">
        <v>46292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46292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46292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46292</v>
      </c>
      <c r="F306" t="inlineStr">
        <is>
          <t>JÖNKÖPINGS LÄN</t>
        </is>
      </c>
      <c r="G306" t="inlineStr">
        <is>
          <t>VÄRNAMO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46292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33315-2025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45841</v>
      </c>
      <c r="E308" s="1" t="n">
        <v>46292</v>
      </c>
      <c r="F308" t="inlineStr">
        <is>
          <t>JÖNKÖPINGS LÄN</t>
        </is>
      </c>
      <c r="G308" t="inlineStr">
        <is>
          <t>VÄRNAMO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45200</v>
      </c>
      <c r="E309" s="1" t="n">
        <v>46292</v>
      </c>
      <c r="F309" t="inlineStr">
        <is>
          <t>JÖNKÖPINGS LÄN</t>
        </is>
      </c>
      <c r="G309" t="inlineStr">
        <is>
          <t>VÄRNAMO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46292</v>
      </c>
      <c r="F310" t="inlineStr">
        <is>
          <t>JÖNKÖPINGS LÄN</t>
        </is>
      </c>
      <c r="G310" t="inlineStr">
        <is>
          <t>VÄRNAMO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46292</v>
      </c>
      <c r="F311" t="inlineStr">
        <is>
          <t>JÖNKÖPINGS LÄN</t>
        </is>
      </c>
      <c r="G311" t="inlineStr">
        <is>
          <t>VÄRNAMO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46292</v>
      </c>
      <c r="F312" t="inlineStr">
        <is>
          <t>JÖNKÖPINGS LÄN</t>
        </is>
      </c>
      <c r="G312" t="inlineStr">
        <is>
          <t>VÄRNAMO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46292</v>
      </c>
      <c r="F313" t="inlineStr">
        <is>
          <t>JÖNKÖPINGS LÄN</t>
        </is>
      </c>
      <c r="G313" t="inlineStr">
        <is>
          <t>VÄRNAMO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46292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46292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33407-2024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45519</v>
      </c>
      <c r="E316" s="1" t="n">
        <v>46292</v>
      </c>
      <c r="F316" t="inlineStr">
        <is>
          <t>JÖNKÖPINGS LÄN</t>
        </is>
      </c>
      <c r="G316" t="inlineStr">
        <is>
          <t>VÄRNAMO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46292</v>
      </c>
      <c r="F317" t="inlineStr">
        <is>
          <t>JÖNKÖPINGS LÄN</t>
        </is>
      </c>
      <c r="G317" t="inlineStr">
        <is>
          <t>VÄRNAMO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46292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46292</v>
      </c>
      <c r="F319" t="inlineStr">
        <is>
          <t>JÖNKÖPINGS LÄN</t>
        </is>
      </c>
      <c r="G319" t="inlineStr">
        <is>
          <t>VÄRNAMO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46292</v>
      </c>
      <c r="F320" t="inlineStr">
        <is>
          <t>JÖNKÖPINGS LÄN</t>
        </is>
      </c>
      <c r="G320" t="inlineStr">
        <is>
          <t>VÄRNAMO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46292</v>
      </c>
      <c r="F321" t="inlineStr">
        <is>
          <t>JÖNKÖPINGS LÄN</t>
        </is>
      </c>
      <c r="G321" t="inlineStr">
        <is>
          <t>VÄRNAMO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46292</v>
      </c>
      <c r="F322" t="inlineStr">
        <is>
          <t>JÖNKÖPINGS LÄN</t>
        </is>
      </c>
      <c r="G322" t="inlineStr">
        <is>
          <t>VÄRNAMO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46292</v>
      </c>
      <c r="F323" t="inlineStr">
        <is>
          <t>JÖNKÖPINGS LÄN</t>
        </is>
      </c>
      <c r="G323" t="inlineStr">
        <is>
          <t>VÄRNAMO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45446</v>
      </c>
      <c r="E324" s="1" t="n">
        <v>46292</v>
      </c>
      <c r="F324" t="inlineStr">
        <is>
          <t>JÖNKÖPINGS LÄN</t>
        </is>
      </c>
      <c r="G324" t="inlineStr">
        <is>
          <t>VÄRNAMO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45664</v>
      </c>
      <c r="E325" s="1" t="n">
        <v>46292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46292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45735</v>
      </c>
      <c r="E327" s="1" t="n">
        <v>46292</v>
      </c>
      <c r="F327" t="inlineStr">
        <is>
          <t>JÖNKÖPINGS LÄN</t>
        </is>
      </c>
      <c r="G327" t="inlineStr">
        <is>
          <t>VÄRNAMO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46292</v>
      </c>
      <c r="F328" t="inlineStr">
        <is>
          <t>JÖNKÖPINGS LÄN</t>
        </is>
      </c>
      <c r="G328" t="inlineStr">
        <is>
          <t>VÄRNAMO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46292</v>
      </c>
      <c r="F329" t="inlineStr">
        <is>
          <t>JÖNKÖPINGS LÄN</t>
        </is>
      </c>
      <c r="G329" t="inlineStr">
        <is>
          <t>VÄRNAMO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51463-2022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46292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46292</v>
      </c>
      <c r="F331" t="inlineStr">
        <is>
          <t>JÖNKÖPINGS LÄN</t>
        </is>
      </c>
      <c r="G331" t="inlineStr">
        <is>
          <t>VÄRNAMO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45805</v>
      </c>
      <c r="E332" s="1" t="n">
        <v>46292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46292</v>
      </c>
      <c r="F333" t="inlineStr">
        <is>
          <t>JÖNKÖPINGS LÄN</t>
        </is>
      </c>
      <c r="G333" t="inlineStr">
        <is>
          <t>VÄRNAMO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48658-2023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46292</v>
      </c>
      <c r="F334" t="inlineStr">
        <is>
          <t>JÖNKÖPINGS LÄN</t>
        </is>
      </c>
      <c r="G334" t="inlineStr">
        <is>
          <t>VÄRNAMO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46292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48664-2023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46292</v>
      </c>
      <c r="F336" t="inlineStr">
        <is>
          <t>JÖNKÖPINGS LÄN</t>
        </is>
      </c>
      <c r="G336" t="inlineStr">
        <is>
          <t>VÄRNAMO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46292</v>
      </c>
      <c r="F337" t="inlineStr">
        <is>
          <t>JÖNKÖPINGS LÄN</t>
        </is>
      </c>
      <c r="G337" t="inlineStr">
        <is>
          <t>VÄRNAMO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45718</v>
      </c>
      <c r="E338" s="1" t="n">
        <v>46292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46292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46292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45021</v>
      </c>
      <c r="E341" s="1" t="n">
        <v>46292</v>
      </c>
      <c r="F341" t="inlineStr">
        <is>
          <t>JÖNKÖPINGS LÄN</t>
        </is>
      </c>
      <c r="G341" t="inlineStr">
        <is>
          <t>VÄRNAMO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46292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46292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46292</v>
      </c>
      <c r="F344" t="inlineStr">
        <is>
          <t>JÖNKÖPINGS LÄN</t>
        </is>
      </c>
      <c r="G344" t="inlineStr">
        <is>
          <t>VÄRNAMO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46292</v>
      </c>
      <c r="F345" t="inlineStr">
        <is>
          <t>JÖNKÖPINGS LÄN</t>
        </is>
      </c>
      <c r="G345" t="inlineStr">
        <is>
          <t>VÄRNAMO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46292</v>
      </c>
      <c r="F346" t="inlineStr">
        <is>
          <t>JÖNKÖPINGS LÄN</t>
        </is>
      </c>
      <c r="G346" t="inlineStr">
        <is>
          <t>VÄRNAMO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46292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46292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46292</v>
      </c>
      <c r="F349" t="inlineStr">
        <is>
          <t>JÖNKÖPINGS LÄN</t>
        </is>
      </c>
      <c r="G349" t="inlineStr">
        <is>
          <t>VÄRNAMO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46292</v>
      </c>
      <c r="F350" t="inlineStr">
        <is>
          <t>JÖNKÖPINGS LÄN</t>
        </is>
      </c>
      <c r="G350" t="inlineStr">
        <is>
          <t>VÄRNAMO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46292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45853</v>
      </c>
      <c r="E352" s="1" t="n">
        <v>46292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46292</v>
      </c>
      <c r="F353" t="inlineStr">
        <is>
          <t>JÖNKÖPINGS LÄN</t>
        </is>
      </c>
      <c r="G353" t="inlineStr">
        <is>
          <t>VÄRNAMO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46292</v>
      </c>
      <c r="F354" t="inlineStr">
        <is>
          <t>JÖNKÖPINGS LÄN</t>
        </is>
      </c>
      <c r="G354" t="inlineStr">
        <is>
          <t>VÄRNAMO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45748</v>
      </c>
      <c r="E355" s="1" t="n">
        <v>46292</v>
      </c>
      <c r="F355" t="inlineStr">
        <is>
          <t>JÖNKÖPINGS LÄN</t>
        </is>
      </c>
      <c r="G355" t="inlineStr">
        <is>
          <t>VÄRNAMO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46292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46292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45149</v>
      </c>
      <c r="E358" s="1" t="n">
        <v>46292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46172</v>
      </c>
      <c r="E359" s="1" t="n">
        <v>46292</v>
      </c>
      <c r="F359" t="inlineStr">
        <is>
          <t>JÖNKÖPINGS LÄN</t>
        </is>
      </c>
      <c r="G359" t="inlineStr">
        <is>
          <t>VÄRNAMO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44805</v>
      </c>
      <c r="E360" s="1" t="n">
        <v>46292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44936</v>
      </c>
      <c r="E361" s="1" t="n">
        <v>46292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46292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46292</v>
      </c>
      <c r="F363" t="inlineStr">
        <is>
          <t>JÖNKÖPINGS LÄN</t>
        </is>
      </c>
      <c r="G363" t="inlineStr">
        <is>
          <t>VÄRNAMO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46292</v>
      </c>
      <c r="F364" t="inlineStr">
        <is>
          <t>JÖNKÖPINGS LÄN</t>
        </is>
      </c>
      <c r="G364" t="inlineStr">
        <is>
          <t>VÄRNAMO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46292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46292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45106</v>
      </c>
      <c r="E367" s="1" t="n">
        <v>46292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46292</v>
      </c>
      <c r="F368" t="inlineStr">
        <is>
          <t>JÖNKÖPINGS LÄN</t>
        </is>
      </c>
      <c r="G368" t="inlineStr">
        <is>
          <t>VÄRNAMO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45802</v>
      </c>
      <c r="E369" s="1" t="n">
        <v>46292</v>
      </c>
      <c r="F369" t="inlineStr">
        <is>
          <t>JÖNKÖPINGS LÄN</t>
        </is>
      </c>
      <c r="G369" t="inlineStr">
        <is>
          <t>VÄRNAMO</t>
        </is>
      </c>
      <c r="H369" t="inlineStr">
        <is>
          <t>Övriga Aktiebolag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46292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46292</v>
      </c>
      <c r="F371" t="inlineStr">
        <is>
          <t>JÖNKÖPINGS LÄN</t>
        </is>
      </c>
      <c r="G371" t="inlineStr">
        <is>
          <t>VÄRNAMO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45124</v>
      </c>
      <c r="E372" s="1" t="n">
        <v>46292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46292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46292</v>
      </c>
      <c r="F374" t="inlineStr">
        <is>
          <t>JÖNKÖPINGS LÄN</t>
        </is>
      </c>
      <c r="G374" t="inlineStr">
        <is>
          <t>VÄRNAMO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46292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46292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46292</v>
      </c>
      <c r="F377" t="inlineStr">
        <is>
          <t>JÖNKÖPINGS LÄN</t>
        </is>
      </c>
      <c r="G377" t="inlineStr">
        <is>
          <t>VÄRNAMO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46292</v>
      </c>
      <c r="F378" t="inlineStr">
        <is>
          <t>JÖNKÖPINGS LÄN</t>
        </is>
      </c>
      <c r="G378" t="inlineStr">
        <is>
          <t>VÄRNAMO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45873</v>
      </c>
      <c r="E379" s="1" t="n">
        <v>46292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46292</v>
      </c>
      <c r="F380" t="inlineStr">
        <is>
          <t>JÖNKÖPINGS LÄN</t>
        </is>
      </c>
      <c r="G380" t="inlineStr">
        <is>
          <t>VÄRNAMO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46292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46292</v>
      </c>
      <c r="F382" t="inlineStr">
        <is>
          <t>JÖNKÖPINGS LÄN</t>
        </is>
      </c>
      <c r="G382" t="inlineStr">
        <is>
          <t>VÄRNAMO</t>
        </is>
      </c>
      <c r="H382" t="inlineStr">
        <is>
          <t>Kommuner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46292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39656-2023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45167</v>
      </c>
      <c r="E384" s="1" t="n">
        <v>46292</v>
      </c>
      <c r="F384" t="inlineStr">
        <is>
          <t>JÖNKÖPINGS LÄN</t>
        </is>
      </c>
      <c r="G384" t="inlineStr">
        <is>
          <t>VÄRNAMO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74310-2021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44559</v>
      </c>
      <c r="E385" s="1" t="n">
        <v>46292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45517</v>
      </c>
      <c r="E386" s="1" t="n">
        <v>46292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46292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27153-2026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46188</v>
      </c>
      <c r="E388" s="1" t="n">
        <v>46292</v>
      </c>
      <c r="F388" t="inlineStr">
        <is>
          <t>JÖNKÖPINGS LÄN</t>
        </is>
      </c>
      <c r="G388" t="inlineStr">
        <is>
          <t>VÄRNAMO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46292</v>
      </c>
      <c r="F389" t="inlineStr">
        <is>
          <t>JÖNKÖPINGS LÄN</t>
        </is>
      </c>
      <c r="G389" t="inlineStr">
        <is>
          <t>VÄRNAMO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46292</v>
      </c>
      <c r="F390" t="inlineStr">
        <is>
          <t>JÖNKÖPINGS LÄN</t>
        </is>
      </c>
      <c r="G390" t="inlineStr">
        <is>
          <t>VÄRNAMO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46292</v>
      </c>
      <c r="F391" t="inlineStr">
        <is>
          <t>JÖNKÖPINGS LÄN</t>
        </is>
      </c>
      <c r="G391" t="inlineStr">
        <is>
          <t>VÄRNAMO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46292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46292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46292</v>
      </c>
      <c r="F394" t="inlineStr">
        <is>
          <t>JÖNKÖPINGS LÄN</t>
        </is>
      </c>
      <c r="G394" t="inlineStr">
        <is>
          <t>VÄRNAMO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46292</v>
      </c>
      <c r="F395" t="inlineStr">
        <is>
          <t>JÖNKÖPINGS LÄN</t>
        </is>
      </c>
      <c r="G395" t="inlineStr">
        <is>
          <t>VÄRNAMO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46292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46292</v>
      </c>
      <c r="F397" t="inlineStr">
        <is>
          <t>JÖNKÖPINGS LÄN</t>
        </is>
      </c>
      <c r="G397" t="inlineStr">
        <is>
          <t>VÄRNAMO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46292</v>
      </c>
      <c r="F398" t="inlineStr">
        <is>
          <t>JÖNKÖPINGS LÄN</t>
        </is>
      </c>
      <c r="G398" t="inlineStr">
        <is>
          <t>VÄRNAMO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46292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46292</v>
      </c>
      <c r="F400" t="inlineStr">
        <is>
          <t>JÖNKÖPINGS LÄN</t>
        </is>
      </c>
      <c r="G400" t="inlineStr">
        <is>
          <t>VÄRNAMO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46292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46292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46292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46292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46292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46292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45876</v>
      </c>
      <c r="E407" s="1" t="n">
        <v>46292</v>
      </c>
      <c r="F407" t="inlineStr">
        <is>
          <t>JÖNKÖPINGS LÄN</t>
        </is>
      </c>
      <c r="G407" t="inlineStr">
        <is>
          <t>VÄRNAMO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46292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46193</v>
      </c>
      <c r="E409" s="1" t="n">
        <v>46292</v>
      </c>
      <c r="F409" t="inlineStr">
        <is>
          <t>JÖNKÖPINGS LÄN</t>
        </is>
      </c>
      <c r="G409" t="inlineStr">
        <is>
          <t>VÄRNAMO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46292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46292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46292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46292</v>
      </c>
      <c r="F413" t="inlineStr">
        <is>
          <t>JÖNKÖPINGS LÄN</t>
        </is>
      </c>
      <c r="G413" t="inlineStr">
        <is>
          <t>VÄRNAMO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46292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44642</v>
      </c>
      <c r="E415" s="1" t="n">
        <v>46292</v>
      </c>
      <c r="F415" t="inlineStr">
        <is>
          <t>JÖNKÖPINGS LÄN</t>
        </is>
      </c>
      <c r="G415" t="inlineStr">
        <is>
          <t>VÄRNAMO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46292</v>
      </c>
      <c r="F416" t="inlineStr">
        <is>
          <t>JÖNKÖPINGS LÄN</t>
        </is>
      </c>
      <c r="G416" t="inlineStr">
        <is>
          <t>VÄRNAMO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46292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45631</v>
      </c>
      <c r="E418" s="1" t="n">
        <v>46292</v>
      </c>
      <c r="F418" t="inlineStr">
        <is>
          <t>JÖNKÖPINGS LÄN</t>
        </is>
      </c>
      <c r="G418" t="inlineStr">
        <is>
          <t>VÄRNAMO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45721</v>
      </c>
      <c r="E419" s="1" t="n">
        <v>46292</v>
      </c>
      <c r="F419" t="inlineStr">
        <is>
          <t>JÖNKÖPINGS LÄN</t>
        </is>
      </c>
      <c r="G419" t="inlineStr">
        <is>
          <t>VÄRNAMO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46292</v>
      </c>
      <c r="F420" t="inlineStr">
        <is>
          <t>JÖNKÖPINGS LÄN</t>
        </is>
      </c>
      <c r="G420" t="inlineStr">
        <is>
          <t>VÄRNAMO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44566</v>
      </c>
      <c r="E421" s="1" t="n">
        <v>46292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45635</v>
      </c>
      <c r="E422" s="1" t="n">
        <v>46292</v>
      </c>
      <c r="F422" t="inlineStr">
        <is>
          <t>JÖNKÖPINGS LÄN</t>
        </is>
      </c>
      <c r="G422" t="inlineStr">
        <is>
          <t>VÄRNAMO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46292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46292</v>
      </c>
      <c r="F424" t="inlineStr">
        <is>
          <t>JÖNKÖPINGS LÄN</t>
        </is>
      </c>
      <c r="G424" t="inlineStr">
        <is>
          <t>VÄRNAMO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46292</v>
      </c>
      <c r="F425" t="inlineStr">
        <is>
          <t>JÖNKÖPINGS LÄN</t>
        </is>
      </c>
      <c r="G425" t="inlineStr">
        <is>
          <t>VÄRNAMO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46292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11210-2024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45371</v>
      </c>
      <c r="E427" s="1" t="n">
        <v>46292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46292</v>
      </c>
      <c r="F428" t="inlineStr">
        <is>
          <t>JÖNKÖPINGS LÄN</t>
        </is>
      </c>
      <c r="G428" t="inlineStr">
        <is>
          <t>VÄRNAMO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45645</v>
      </c>
      <c r="E429" s="1" t="n">
        <v>46292</v>
      </c>
      <c r="F429" t="inlineStr">
        <is>
          <t>JÖNKÖPINGS LÄN</t>
        </is>
      </c>
      <c r="G429" t="inlineStr">
        <is>
          <t>VÄRNAMO</t>
        </is>
      </c>
      <c r="I429" t="n">
        <v>13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45684</v>
      </c>
      <c r="E430" s="1" t="n">
        <v>46292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46292</v>
      </c>
      <c r="F431" t="inlineStr">
        <is>
          <t>JÖNKÖPINGS LÄN</t>
        </is>
      </c>
      <c r="G431" t="inlineStr">
        <is>
          <t>VÄRNAMO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46292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46292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46292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46292</v>
      </c>
      <c r="F435" t="inlineStr">
        <is>
          <t>JÖNKÖPINGS LÄN</t>
        </is>
      </c>
      <c r="G435" t="inlineStr">
        <is>
          <t>VÄRNAMO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18890-2023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46292</v>
      </c>
      <c r="F436" t="inlineStr">
        <is>
          <t>JÖNKÖPINGS LÄN</t>
        </is>
      </c>
      <c r="G436" t="inlineStr">
        <is>
          <t>VÄRNAMO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46292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44608</v>
      </c>
      <c r="E438" s="1" t="n">
        <v>46292</v>
      </c>
      <c r="F438" t="inlineStr">
        <is>
          <t>JÖNKÖPINGS LÄN</t>
        </is>
      </c>
      <c r="G438" t="inlineStr">
        <is>
          <t>VÄRNAMO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46292</v>
      </c>
      <c r="F439" t="inlineStr">
        <is>
          <t>JÖNKÖPINGS LÄN</t>
        </is>
      </c>
      <c r="G439" t="inlineStr">
        <is>
          <t>VÄRNAMO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45642</v>
      </c>
      <c r="E440" s="1" t="n">
        <v>46292</v>
      </c>
      <c r="F440" t="inlineStr">
        <is>
          <t>JÖNKÖPINGS LÄN</t>
        </is>
      </c>
      <c r="G440" t="inlineStr">
        <is>
          <t>VÄRNAMO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46292</v>
      </c>
      <c r="F441" t="inlineStr">
        <is>
          <t>JÖNKÖPINGS LÄN</t>
        </is>
      </c>
      <c r="G441" t="inlineStr">
        <is>
          <t>VÄRNAMO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46292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46292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46292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44699</v>
      </c>
      <c r="E445" s="1" t="n">
        <v>46292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46292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44698</v>
      </c>
      <c r="E447" s="1" t="n">
        <v>46292</v>
      </c>
      <c r="F447" t="inlineStr">
        <is>
          <t>JÖNKÖPINGS LÄN</t>
        </is>
      </c>
      <c r="G447" t="inlineStr">
        <is>
          <t>VÄRNAMO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46292</v>
      </c>
      <c r="F448" t="inlineStr">
        <is>
          <t>JÖNKÖPINGS LÄN</t>
        </is>
      </c>
      <c r="G448" t="inlineStr">
        <is>
          <t>VÄRNAMO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45093</v>
      </c>
      <c r="E449" s="1" t="n">
        <v>46292</v>
      </c>
      <c r="F449" t="inlineStr">
        <is>
          <t>JÖNKÖPINGS LÄN</t>
        </is>
      </c>
      <c r="G449" t="inlineStr">
        <is>
          <t>VÄRNAMO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46292</v>
      </c>
      <c r="F450" t="inlineStr">
        <is>
          <t>JÖNKÖPINGS LÄN</t>
        </is>
      </c>
      <c r="G450" t="inlineStr">
        <is>
          <t>VÄRNAMO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46292</v>
      </c>
      <c r="F451" t="inlineStr">
        <is>
          <t>JÖNKÖPINGS LÄN</t>
        </is>
      </c>
      <c r="G451" t="inlineStr">
        <is>
          <t>VÄRNAMO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46292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46292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46292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46292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46292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46292</v>
      </c>
      <c r="F457" t="inlineStr">
        <is>
          <t>JÖNKÖPINGS LÄN</t>
        </is>
      </c>
      <c r="G457" t="inlineStr">
        <is>
          <t>VÄRNAMO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46292</v>
      </c>
      <c r="F458" t="inlineStr">
        <is>
          <t>JÖNKÖPINGS LÄN</t>
        </is>
      </c>
      <c r="G458" t="inlineStr">
        <is>
          <t>VÄRNAMO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46292</v>
      </c>
      <c r="F459" t="inlineStr">
        <is>
          <t>JÖNKÖPINGS LÄN</t>
        </is>
      </c>
      <c r="G459" t="inlineStr">
        <is>
          <t>VÄRNAMO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44851</v>
      </c>
      <c r="E460" s="1" t="n">
        <v>46292</v>
      </c>
      <c r="F460" t="inlineStr">
        <is>
          <t>JÖNKÖPINGS LÄN</t>
        </is>
      </c>
      <c r="G460" t="inlineStr">
        <is>
          <t>VÄRNAMO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46292</v>
      </c>
      <c r="F461" t="inlineStr">
        <is>
          <t>JÖNKÖPINGS LÄN</t>
        </is>
      </c>
      <c r="G461" t="inlineStr">
        <is>
          <t>VÄRNAMO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46292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10.6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44729</v>
      </c>
      <c r="E463" s="1" t="n">
        <v>46292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46292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44686</v>
      </c>
      <c r="E465" s="1" t="n">
        <v>46292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46292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46292</v>
      </c>
      <c r="F467" t="inlineStr">
        <is>
          <t>JÖNKÖPINGS LÄN</t>
        </is>
      </c>
      <c r="G467" t="inlineStr">
        <is>
          <t>VÄRNAMO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46292</v>
      </c>
      <c r="F468" t="inlineStr">
        <is>
          <t>JÖNKÖPINGS LÄN</t>
        </is>
      </c>
      <c r="G468" t="inlineStr">
        <is>
          <t>VÄRNAMO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44909</v>
      </c>
      <c r="E469" s="1" t="n">
        <v>46292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46292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46292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45272</v>
      </c>
      <c r="E472" s="1" t="n">
        <v>46292</v>
      </c>
      <c r="F472" t="inlineStr">
        <is>
          <t>JÖNKÖPINGS LÄN</t>
        </is>
      </c>
      <c r="G472" t="inlineStr">
        <is>
          <t>VÄRNAMO</t>
        </is>
      </c>
      <c r="H472" t="inlineStr">
        <is>
          <t>Kommuner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45320</v>
      </c>
      <c r="E473" s="1" t="n">
        <v>46292</v>
      </c>
      <c r="F473" t="inlineStr">
        <is>
          <t>JÖNKÖPINGS LÄN</t>
        </is>
      </c>
      <c r="G473" t="inlineStr">
        <is>
          <t>VÄRNAMO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46292</v>
      </c>
      <c r="F474" t="inlineStr">
        <is>
          <t>JÖNKÖPINGS LÄN</t>
        </is>
      </c>
      <c r="G474" t="inlineStr">
        <is>
          <t>VÄRNAMO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46292</v>
      </c>
      <c r="F475" t="inlineStr">
        <is>
          <t>JÖNKÖPINGS LÄN</t>
        </is>
      </c>
      <c r="G475" t="inlineStr">
        <is>
          <t>VÄRNAMO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48697-2022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44859</v>
      </c>
      <c r="E476" s="1" t="n">
        <v>46292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45275</v>
      </c>
      <c r="E477" s="1" t="n">
        <v>46292</v>
      </c>
      <c r="F477" t="inlineStr">
        <is>
          <t>JÖNKÖPINGS LÄN</t>
        </is>
      </c>
      <c r="G477" t="inlineStr">
        <is>
          <t>VÄRNAMO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45763</v>
      </c>
      <c r="E478" s="1" t="n">
        <v>46292</v>
      </c>
      <c r="F478" t="inlineStr">
        <is>
          <t>JÖNKÖPINGS LÄN</t>
        </is>
      </c>
      <c r="G478" t="inlineStr">
        <is>
          <t>VÄRNAMO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46230</v>
      </c>
      <c r="E479" s="1" t="n">
        <v>46292</v>
      </c>
      <c r="F479" t="inlineStr">
        <is>
          <t>JÖNKÖPINGS LÄN</t>
        </is>
      </c>
      <c r="G479" t="inlineStr">
        <is>
          <t>VÄRNAMO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46230</v>
      </c>
      <c r="E480" s="1" t="n">
        <v>46292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46230</v>
      </c>
      <c r="E481" s="1" t="n">
        <v>46292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64002-2023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45278</v>
      </c>
      <c r="E482" s="1" t="n">
        <v>46292</v>
      </c>
      <c r="F482" t="inlineStr">
        <is>
          <t>JÖNKÖPINGS LÄN</t>
        </is>
      </c>
      <c r="G482" t="inlineStr">
        <is>
          <t>VÄRNAMO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64048-2023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45279</v>
      </c>
      <c r="E483" s="1" t="n">
        <v>46292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46292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39965-2022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46292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45509</v>
      </c>
      <c r="E486" s="1" t="n">
        <v>46292</v>
      </c>
      <c r="F486" t="inlineStr">
        <is>
          <t>JÖNKÖPINGS LÄN</t>
        </is>
      </c>
      <c r="G486" t="inlineStr">
        <is>
          <t>VÄRNAMO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46292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46292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46292</v>
      </c>
      <c r="F489" t="inlineStr">
        <is>
          <t>JÖNKÖPINGS LÄN</t>
        </is>
      </c>
      <c r="G489" t="inlineStr">
        <is>
          <t>VÄRNAMO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46292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46292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45701</v>
      </c>
      <c r="E492" s="1" t="n">
        <v>46292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45302</v>
      </c>
      <c r="E493" s="1" t="n">
        <v>46292</v>
      </c>
      <c r="F493" t="inlineStr">
        <is>
          <t>JÖNKÖPINGS LÄN</t>
        </is>
      </c>
      <c r="G493" t="inlineStr">
        <is>
          <t>VÄRNAMO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46292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53533-2023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45223</v>
      </c>
      <c r="E495" s="1" t="n">
        <v>46292</v>
      </c>
      <c r="F495" t="inlineStr">
        <is>
          <t>JÖNKÖPINGS LÄN</t>
        </is>
      </c>
      <c r="G495" t="inlineStr">
        <is>
          <t>VÄRNAMO</t>
        </is>
      </c>
      <c r="H495" t="inlineStr">
        <is>
          <t>Kyrkan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46292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46292</v>
      </c>
      <c r="F497" t="inlineStr">
        <is>
          <t>JÖNKÖPINGS LÄN</t>
        </is>
      </c>
      <c r="G497" t="inlineStr">
        <is>
          <t>VÄRNAMO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46292</v>
      </c>
      <c r="F498" t="inlineStr">
        <is>
          <t>JÖNKÖPINGS LÄN</t>
        </is>
      </c>
      <c r="G498" t="inlineStr">
        <is>
          <t>VÄRNAMO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46292</v>
      </c>
      <c r="F499" t="inlineStr">
        <is>
          <t>JÖNKÖPINGS LÄN</t>
        </is>
      </c>
      <c r="G499" t="inlineStr">
        <is>
          <t>VÄRNAMO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46292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44993</v>
      </c>
      <c r="E501" s="1" t="n">
        <v>46292</v>
      </c>
      <c r="F501" t="inlineStr">
        <is>
          <t>JÖNKÖPINGS LÄN</t>
        </is>
      </c>
      <c r="G501" t="inlineStr">
        <is>
          <t>VÄRNAMO</t>
        </is>
      </c>
      <c r="H501" t="inlineStr">
        <is>
          <t>Kommuner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45590</v>
      </c>
      <c r="E502" s="1" t="n">
        <v>46292</v>
      </c>
      <c r="F502" t="inlineStr">
        <is>
          <t>JÖNKÖPINGS LÄN</t>
        </is>
      </c>
      <c r="G502" t="inlineStr">
        <is>
          <t>VÄRNAMO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46292</v>
      </c>
      <c r="F503" t="inlineStr">
        <is>
          <t>JÖNKÖPINGS LÄN</t>
        </is>
      </c>
      <c r="G503" t="inlineStr">
        <is>
          <t>VÄRNAMO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46292</v>
      </c>
      <c r="F504" t="inlineStr">
        <is>
          <t>JÖNKÖPINGS LÄN</t>
        </is>
      </c>
      <c r="G504" t="inlineStr">
        <is>
          <t>VÄRNAMO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46292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14353-2022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44652</v>
      </c>
      <c r="E506" s="1" t="n">
        <v>46292</v>
      </c>
      <c r="F506" t="inlineStr">
        <is>
          <t>JÖNKÖPINGS LÄN</t>
        </is>
      </c>
      <c r="G506" t="inlineStr">
        <is>
          <t>VÄRNAMO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46292</v>
      </c>
      <c r="F507" t="inlineStr">
        <is>
          <t>JÖNKÖPINGS LÄN</t>
        </is>
      </c>
      <c r="G507" t="inlineStr">
        <is>
          <t>VÄRNAMO</t>
        </is>
      </c>
      <c r="H507" t="inlineStr">
        <is>
          <t>Kyrkan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46292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46292</v>
      </c>
      <c r="F509" t="inlineStr">
        <is>
          <t>JÖNKÖPINGS LÄN</t>
        </is>
      </c>
      <c r="G509" t="inlineStr">
        <is>
          <t>VÄRNAMO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44840</v>
      </c>
      <c r="E510" s="1" t="n">
        <v>46292</v>
      </c>
      <c r="F510" t="inlineStr">
        <is>
          <t>JÖNKÖPINGS LÄN</t>
        </is>
      </c>
      <c r="G510" t="inlineStr">
        <is>
          <t>VÄRNAMO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44825</v>
      </c>
      <c r="E511" s="1" t="n">
        <v>46292</v>
      </c>
      <c r="F511" t="inlineStr">
        <is>
          <t>JÖNKÖPINGS LÄN</t>
        </is>
      </c>
      <c r="G511" t="inlineStr">
        <is>
          <t>VÄRNAMO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38963-2026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46292</v>
      </c>
      <c r="F512" t="inlineStr">
        <is>
          <t>JÖNKÖPINGS LÄN</t>
        </is>
      </c>
      <c r="G512" t="inlineStr">
        <is>
          <t>VÄRNAMO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46292</v>
      </c>
      <c r="F513" t="inlineStr">
        <is>
          <t>JÖNKÖPINGS LÄN</t>
        </is>
      </c>
      <c r="G513" t="inlineStr">
        <is>
          <t>VÄRNAMO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46292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46292</v>
      </c>
      <c r="F515" t="inlineStr">
        <is>
          <t>JÖNKÖPINGS LÄN</t>
        </is>
      </c>
      <c r="G515" t="inlineStr">
        <is>
          <t>VÄRNAMO</t>
        </is>
      </c>
      <c r="H515" t="inlineStr">
        <is>
          <t>Kommuner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46292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45443</v>
      </c>
      <c r="E517" s="1" t="n">
        <v>46292</v>
      </c>
      <c r="F517" t="inlineStr">
        <is>
          <t>JÖNKÖPINGS LÄN</t>
        </is>
      </c>
      <c r="G517" t="inlineStr">
        <is>
          <t>VÄRNAMO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44985</v>
      </c>
      <c r="E518" s="1" t="n">
        <v>46292</v>
      </c>
      <c r="F518" t="inlineStr">
        <is>
          <t>JÖNKÖPINGS LÄN</t>
        </is>
      </c>
      <c r="G518" t="inlineStr">
        <is>
          <t>VÄRNAMO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44928</v>
      </c>
      <c r="E519" s="1" t="n">
        <v>46292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42817-2024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46292</v>
      </c>
      <c r="F520" t="inlineStr">
        <is>
          <t>JÖNKÖPINGS LÄN</t>
        </is>
      </c>
      <c r="G520" t="inlineStr">
        <is>
          <t>VÄRNAMO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46292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46292</v>
      </c>
      <c r="F522" t="inlineStr">
        <is>
          <t>JÖNKÖPINGS LÄN</t>
        </is>
      </c>
      <c r="G522" t="inlineStr">
        <is>
          <t>VÄRNAMO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46292</v>
      </c>
      <c r="F523" t="inlineStr">
        <is>
          <t>JÖNKÖPINGS LÄN</t>
        </is>
      </c>
      <c r="G523" t="inlineStr">
        <is>
          <t>VÄRNAMO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39377-2026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46288</v>
      </c>
      <c r="E524" s="1" t="n">
        <v>46292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46867-2023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45200</v>
      </c>
      <c r="E525" s="1" t="n">
        <v>46292</v>
      </c>
      <c r="F525" t="inlineStr">
        <is>
          <t>JÖNKÖPINGS LÄN</t>
        </is>
      </c>
      <c r="G525" t="inlineStr">
        <is>
          <t>VÄRNAMO</t>
        </is>
      </c>
      <c r="H525" t="inlineStr">
        <is>
          <t>Övriga Aktiebolag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46007</v>
      </c>
      <c r="E526" s="1" t="n">
        <v>46292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46292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45622</v>
      </c>
      <c r="E528" s="1" t="n">
        <v>46292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46292</v>
      </c>
      <c r="F529" t="inlineStr">
        <is>
          <t>JÖNKÖPINGS LÄN</t>
        </is>
      </c>
      <c r="G529" t="inlineStr">
        <is>
          <t>VÄRNAMO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46292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46292</v>
      </c>
      <c r="F531" t="inlineStr">
        <is>
          <t>JÖNKÖPINGS LÄN</t>
        </is>
      </c>
      <c r="G531" t="inlineStr">
        <is>
          <t>VÄRNAMO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47738-2023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45203</v>
      </c>
      <c r="E532" s="1" t="n">
        <v>46292</v>
      </c>
      <c r="F532" t="inlineStr">
        <is>
          <t>JÖNKÖPINGS LÄN</t>
        </is>
      </c>
      <c r="G532" t="inlineStr">
        <is>
          <t>VÄRNAMO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46292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39604-2026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46292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11258-2026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46292</v>
      </c>
      <c r="F535" t="inlineStr">
        <is>
          <t>JÖNKÖPINGS LÄN</t>
        </is>
      </c>
      <c r="G535" t="inlineStr">
        <is>
          <t>VÄRNAMO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45036</v>
      </c>
      <c r="E536" s="1" t="n">
        <v>46292</v>
      </c>
      <c r="F536" t="inlineStr">
        <is>
          <t>JÖNKÖPINGS LÄN</t>
        </is>
      </c>
      <c r="G536" t="inlineStr">
        <is>
          <t>VÄRNAMO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61503-2021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44501</v>
      </c>
      <c r="E537" s="1" t="n">
        <v>46292</v>
      </c>
      <c r="F537" t="inlineStr">
        <is>
          <t>JÖNKÖPINGS LÄN</t>
        </is>
      </c>
      <c r="G537" t="inlineStr">
        <is>
          <t>VÄRNAMO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62276-2023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45267</v>
      </c>
      <c r="E538" s="1" t="n">
        <v>46292</v>
      </c>
      <c r="F538" t="inlineStr">
        <is>
          <t>JÖNKÖPINGS LÄN</t>
        </is>
      </c>
      <c r="G538" t="inlineStr">
        <is>
          <t>VÄRNAMO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45818-2022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46292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45043</v>
      </c>
      <c r="E540" s="1" t="n">
        <v>46292</v>
      </c>
      <c r="F540" t="inlineStr">
        <is>
          <t>JÖNKÖPINGS LÄN</t>
        </is>
      </c>
      <c r="G540" t="inlineStr">
        <is>
          <t>VÄRNAMO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44616</v>
      </c>
      <c r="E541" s="1" t="n">
        <v>46292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46292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57371-2023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46292</v>
      </c>
      <c r="F543" t="inlineStr">
        <is>
          <t>JÖNKÖPINGS LÄN</t>
        </is>
      </c>
      <c r="G543" t="inlineStr">
        <is>
          <t>VÄRNAMO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51474-2023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45221</v>
      </c>
      <c r="E544" s="1" t="n">
        <v>46292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44971</v>
      </c>
      <c r="E545" s="1" t="n">
        <v>46292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46292</v>
      </c>
      <c r="F546" t="inlineStr">
        <is>
          <t>JÖNKÖPINGS LÄN</t>
        </is>
      </c>
      <c r="G546" t="inlineStr">
        <is>
          <t>VÄRNAMO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45642</v>
      </c>
      <c r="E547" s="1" t="n">
        <v>46292</v>
      </c>
      <c r="F547" t="inlineStr">
        <is>
          <t>JÖNKÖPINGS LÄN</t>
        </is>
      </c>
      <c r="G547" t="inlineStr">
        <is>
          <t>VÄRNAMO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58766-2022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46292</v>
      </c>
      <c r="F548" t="inlineStr">
        <is>
          <t>JÖNKÖPINGS LÄN</t>
        </is>
      </c>
      <c r="G548" t="inlineStr">
        <is>
          <t>VÄRNAMO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44642</v>
      </c>
      <c r="E549" s="1" t="n">
        <v>46292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44577</v>
      </c>
      <c r="E550" s="1" t="n">
        <v>46292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46292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46292</v>
      </c>
      <c r="F552" t="inlineStr">
        <is>
          <t>JÖNKÖPINGS LÄN</t>
        </is>
      </c>
      <c r="G552" t="inlineStr">
        <is>
          <t>VÄRNAMO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46292</v>
      </c>
      <c r="F553" t="inlineStr">
        <is>
          <t>JÖNKÖPINGS LÄN</t>
        </is>
      </c>
      <c r="G553" t="inlineStr">
        <is>
          <t>VÄRNAMO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46292</v>
      </c>
      <c r="F554" t="inlineStr">
        <is>
          <t>JÖNKÖPINGS LÄN</t>
        </is>
      </c>
      <c r="G554" t="inlineStr">
        <is>
          <t>VÄRNAMO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45369</v>
      </c>
      <c r="E555" s="1" t="n">
        <v>46292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45386</v>
      </c>
      <c r="E556" s="1" t="n">
        <v>46292</v>
      </c>
      <c r="F556" t="inlineStr">
        <is>
          <t>JÖNKÖPINGS LÄN</t>
        </is>
      </c>
      <c r="G556" t="inlineStr">
        <is>
          <t>VÄRNAMO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46292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45563</v>
      </c>
      <c r="E558" s="1" t="n">
        <v>46292</v>
      </c>
      <c r="F558" t="inlineStr">
        <is>
          <t>JÖNKÖPINGS LÄN</t>
        </is>
      </c>
      <c r="G558" t="inlineStr">
        <is>
          <t>VÄRNAMO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46292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46292</v>
      </c>
      <c r="F560" t="inlineStr">
        <is>
          <t>JÖNKÖPINGS LÄN</t>
        </is>
      </c>
      <c r="G560" t="inlineStr">
        <is>
          <t>VÄRNAMO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46292</v>
      </c>
      <c r="F561" t="inlineStr">
        <is>
          <t>JÖNKÖPINGS LÄN</t>
        </is>
      </c>
      <c r="G561" t="inlineStr">
        <is>
          <t>VÄRNAMO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45372</v>
      </c>
      <c r="E562" s="1" t="n">
        <v>46292</v>
      </c>
      <c r="F562" t="inlineStr">
        <is>
          <t>JÖNKÖPINGS LÄN</t>
        </is>
      </c>
      <c r="G562" t="inlineStr">
        <is>
          <t>VÄRNAMO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46292</v>
      </c>
      <c r="F563" t="inlineStr">
        <is>
          <t>JÖNKÖPINGS LÄN</t>
        </is>
      </c>
      <c r="G563" t="inlineStr">
        <is>
          <t>VÄRNAMO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45328</v>
      </c>
      <c r="E564" s="1" t="n">
        <v>46292</v>
      </c>
      <c r="F564" t="inlineStr">
        <is>
          <t>JÖNKÖPINGS LÄN</t>
        </is>
      </c>
      <c r="G564" t="inlineStr">
        <is>
          <t>VÄRNAMO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46292</v>
      </c>
      <c r="F565" t="inlineStr">
        <is>
          <t>JÖNKÖPINGS LÄN</t>
        </is>
      </c>
      <c r="G565" t="inlineStr">
        <is>
          <t>VÄRNAMO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45105</v>
      </c>
      <c r="E566" s="1" t="n">
        <v>46292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29166-2023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45105</v>
      </c>
      <c r="E567" s="1" t="n">
        <v>46292</v>
      </c>
      <c r="F567" t="inlineStr">
        <is>
          <t>JÖNKÖPINGS LÄN</t>
        </is>
      </c>
      <c r="G567" t="inlineStr">
        <is>
          <t>VÄRNAMO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24703-2022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44727</v>
      </c>
      <c r="E568" s="1" t="n">
        <v>46292</v>
      </c>
      <c r="F568" t="inlineStr">
        <is>
          <t>JÖNKÖPINGS LÄN</t>
        </is>
      </c>
      <c r="G568" t="inlineStr">
        <is>
          <t>VÄRNAMO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45678</v>
      </c>
      <c r="E569" s="1" t="n">
        <v>46292</v>
      </c>
      <c r="F569" t="inlineStr">
        <is>
          <t>JÖNKÖPINGS LÄN</t>
        </is>
      </c>
      <c r="G569" t="inlineStr">
        <is>
          <t>VÄRNAMO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46292</v>
      </c>
      <c r="F570" t="inlineStr">
        <is>
          <t>JÖNKÖPINGS LÄN</t>
        </is>
      </c>
      <c r="G570" t="inlineStr">
        <is>
          <t>VÄRNAMO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46292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46292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46292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46863-2023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45200</v>
      </c>
      <c r="E574" s="1" t="n">
        <v>46292</v>
      </c>
      <c r="F574" t="inlineStr">
        <is>
          <t>JÖNKÖPINGS LÄN</t>
        </is>
      </c>
      <c r="G574" t="inlineStr">
        <is>
          <t>VÄRNAMO</t>
        </is>
      </c>
      <c r="H574" t="inlineStr">
        <is>
          <t>Övriga Aktiebolag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46292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45371</v>
      </c>
      <c r="E576" s="1" t="n">
        <v>46292</v>
      </c>
      <c r="F576" t="inlineStr">
        <is>
          <t>JÖNKÖPINGS LÄN</t>
        </is>
      </c>
      <c r="G576" t="inlineStr">
        <is>
          <t>VÄRNAMO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49605-2024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46292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38664-2024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46292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54477-2022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44882</v>
      </c>
      <c r="E579" s="1" t="n">
        <v>46292</v>
      </c>
      <c r="F579" t="inlineStr">
        <is>
          <t>JÖNKÖPINGS LÄN</t>
        </is>
      </c>
      <c r="G579" t="inlineStr">
        <is>
          <t>VÄRNAMO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46292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31429-2024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45505</v>
      </c>
      <c r="E581" s="1" t="n">
        <v>46292</v>
      </c>
      <c r="F581" t="inlineStr">
        <is>
          <t>JÖNKÖPINGS LÄN</t>
        </is>
      </c>
      <c r="G581" t="inlineStr">
        <is>
          <t>VÄRNAMO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45167</v>
      </c>
      <c r="E582" s="1" t="n">
        <v>46292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45618</v>
      </c>
      <c r="E583" s="1" t="n">
        <v>46292</v>
      </c>
      <c r="F583" t="inlineStr">
        <is>
          <t>JÖNKÖPINGS LÄN</t>
        </is>
      </c>
      <c r="G583" t="inlineStr">
        <is>
          <t>VÄRNAMO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46292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45687</v>
      </c>
      <c r="E585" s="1" t="n">
        <v>46292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29382-2024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45483</v>
      </c>
      <c r="E586" s="1" t="n">
        <v>46292</v>
      </c>
      <c r="F586" t="inlineStr">
        <is>
          <t>JÖNKÖPINGS LÄN</t>
        </is>
      </c>
      <c r="G586" t="inlineStr">
        <is>
          <t>VÄRNAMO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46292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45674</v>
      </c>
      <c r="E588" s="1" t="n">
        <v>46292</v>
      </c>
      <c r="F588" t="inlineStr">
        <is>
          <t>JÖNKÖPINGS LÄN</t>
        </is>
      </c>
      <c r="G588" t="inlineStr">
        <is>
          <t>VÄRNAMO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45667</v>
      </c>
      <c r="E589" s="1" t="n">
        <v>46292</v>
      </c>
      <c r="F589" t="inlineStr">
        <is>
          <t>JÖNKÖPINGS LÄN</t>
        </is>
      </c>
      <c r="G589" t="inlineStr">
        <is>
          <t>VÄRNAMO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46292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49960-2024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46292</v>
      </c>
      <c r="F591" t="inlineStr">
        <is>
          <t>JÖNKÖPINGS LÄN</t>
        </is>
      </c>
      <c r="G591" t="inlineStr">
        <is>
          <t>VÄRNAMO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46292</v>
      </c>
      <c r="F592" t="inlineStr">
        <is>
          <t>JÖNKÖPINGS LÄN</t>
        </is>
      </c>
      <c r="G592" t="inlineStr">
        <is>
          <t>VÄRNAMO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45358</v>
      </c>
      <c r="E593" s="1" t="n">
        <v>46292</v>
      </c>
      <c r="F593" t="inlineStr">
        <is>
          <t>JÖNKÖPINGS LÄN</t>
        </is>
      </c>
      <c r="G593" t="inlineStr">
        <is>
          <t>VÄRNAMO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45684</v>
      </c>
      <c r="E594" s="1" t="n">
        <v>46292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45146</v>
      </c>
      <c r="E595" s="1" t="n">
        <v>46292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61345-2023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46292</v>
      </c>
      <c r="F596" t="inlineStr">
        <is>
          <t>JÖNKÖPINGS LÄN</t>
        </is>
      </c>
      <c r="G596" t="inlineStr">
        <is>
          <t>VÄRNAMO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46292</v>
      </c>
      <c r="F597" t="inlineStr">
        <is>
          <t>JÖNKÖPINGS LÄN</t>
        </is>
      </c>
      <c r="G597" t="inlineStr">
        <is>
          <t>VÄRNAMO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37899-2023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45160</v>
      </c>
      <c r="E598" s="1" t="n">
        <v>46292</v>
      </c>
      <c r="F598" t="inlineStr">
        <is>
          <t>JÖNKÖPINGS LÄN</t>
        </is>
      </c>
      <c r="G598" t="inlineStr">
        <is>
          <t>VÄRNAMO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45777</v>
      </c>
      <c r="E599" s="1" t="n">
        <v>46292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46292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46292</v>
      </c>
      <c r="F601" t="inlineStr">
        <is>
          <t>JÖNKÖPINGS LÄN</t>
        </is>
      </c>
      <c r="G601" t="inlineStr">
        <is>
          <t>VÄRNAMO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45445</v>
      </c>
      <c r="E602" s="1" t="n">
        <v>46292</v>
      </c>
      <c r="F602" t="inlineStr">
        <is>
          <t>JÖNKÖPINGS LÄN</t>
        </is>
      </c>
      <c r="G602" t="inlineStr">
        <is>
          <t>VÄRNAMO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46292</v>
      </c>
      <c r="F603" t="inlineStr">
        <is>
          <t>JÖNKÖPINGS LÄN</t>
        </is>
      </c>
      <c r="G603" t="inlineStr">
        <is>
          <t>VÄRNAMO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46292</v>
      </c>
      <c r="F604" t="inlineStr">
        <is>
          <t>JÖNKÖPINGS LÄN</t>
        </is>
      </c>
      <c r="G604" t="inlineStr">
        <is>
          <t>VÄRNAMO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46292</v>
      </c>
      <c r="F605" t="inlineStr">
        <is>
          <t>JÖNKÖPINGS LÄN</t>
        </is>
      </c>
      <c r="G605" t="inlineStr">
        <is>
          <t>VÄRNAMO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46292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46292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46292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46292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46292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46292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46292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46292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46292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46292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46292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46292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46292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46292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46292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46292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46292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46292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46292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46292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46292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46292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46292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2026-09-27T02:03:02Z</dcterms:created>
  <dcterms:modified xmlns:dcterms="http://purl.org/dc/terms/" xmlns:xsi="http://www.w3.org/2001/XMLSchema-instance" xsi:type="dcterms:W3CDTF">2026-09-27T02:03:02Z</dcterms:modified>
</cp:coreProperties>
</file>