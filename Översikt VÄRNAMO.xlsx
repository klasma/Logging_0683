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46218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46218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46218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46218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46218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46218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46218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Stor revmossa
Västlig hakmossa
Spillkråka</t>
        </is>
      </c>
      <c r="V8">
        <f>HYPERLINK("https://klasma.github.io/Logging_0683/artfynd/A 4438-2024 artfynd.xlsx", "A 4438-2024")</f>
        <v/>
      </c>
      <c r="W8">
        <f>HYPERLINK("https://klasma.github.io/Logging_0683/kartor/A 4438-2024 karta.png", "A 4438-2024")</f>
        <v/>
      </c>
      <c r="Y8">
        <f>HYPERLINK("https://klasma.github.io/Logging_0683/klagomål/A 4438-2024 FSC-klagomål.docx", "A 4438-2024")</f>
        <v/>
      </c>
      <c r="Z8">
        <f>HYPERLINK("https://klasma.github.io/Logging_0683/klagomålsmail/A 4438-2024 FSC-klagomål mail.docx", "A 4438-2024")</f>
        <v/>
      </c>
      <c r="AA8">
        <f>HYPERLINK("https://klasma.github.io/Logging_0683/tillsyn/A 4438-2024 tillsynsbegäran.docx", "A 4438-2024")</f>
        <v/>
      </c>
      <c r="AB8">
        <f>HYPERLINK("https://klasma.github.io/Logging_0683/tillsynsmail/A 4438-2024 tillsynsbegäran mail.docx", "A 4438-2024")</f>
        <v/>
      </c>
      <c r="AC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46218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Blåmossa
Stor revmossa
Vanlig groda</t>
        </is>
      </c>
      <c r="V9">
        <f>HYPERLINK("https://klasma.github.io/Logging_0683/artfynd/A 72729-2021 artfynd.xlsx", "A 72729-2021")</f>
        <v/>
      </c>
      <c r="W9">
        <f>HYPERLINK("https://klasma.github.io/Logging_0683/kartor/A 72729-2021 karta.png", "A 72729-2021")</f>
        <v/>
      </c>
      <c r="Y9">
        <f>HYPERLINK("https://klasma.github.io/Logging_0683/klagomål/A 72729-2021 FSC-klagomål.docx", "A 72729-2021")</f>
        <v/>
      </c>
      <c r="Z9">
        <f>HYPERLINK("https://klasma.github.io/Logging_0683/klagomålsmail/A 72729-2021 FSC-klagomål mail.docx", "A 72729-2021")</f>
        <v/>
      </c>
      <c r="AA9">
        <f>HYPERLINK("https://klasma.github.io/Logging_0683/tillsyn/A 72729-2021 tillsynsbegäran.docx", "A 72729-2021")</f>
        <v/>
      </c>
      <c r="AB9">
        <f>HYPERLINK("https://klasma.github.io/Logging_0683/tillsynsmail/A 72729-2021 tillsynsbegäran mail.docx", "A 72729-2021")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46218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Skaftslamkrypa
Grönpyrola
Vätteros</t>
        </is>
      </c>
      <c r="V10">
        <f>HYPERLINK("https://klasma.github.io/Logging_0683/artfynd/A 29356-2024 artfynd.xlsx", "A 29356-2024")</f>
        <v/>
      </c>
      <c r="W10">
        <f>HYPERLINK("https://klasma.github.io/Logging_0683/kartor/A 29356-2024 karta.png", "A 29356-2024")</f>
        <v/>
      </c>
      <c r="Y10">
        <f>HYPERLINK("https://klasma.github.io/Logging_0683/klagomål/A 29356-2024 FSC-klagomål.docx", "A 29356-2024")</f>
        <v/>
      </c>
      <c r="Z10">
        <f>HYPERLINK("https://klasma.github.io/Logging_0683/klagomålsmail/A 29356-2024 FSC-klagomål mail.docx", "A 29356-2024")</f>
        <v/>
      </c>
      <c r="AA10">
        <f>HYPERLINK("https://klasma.github.io/Logging_0683/tillsyn/A 29356-2024 tillsynsbegäran.docx", "A 29356-2024")</f>
        <v/>
      </c>
      <c r="AB10">
        <f>HYPERLINK("https://klasma.github.io/Logging_0683/tillsynsmail/A 29356-2024 tillsynsbegäran mail.docx", "A 29356-2024")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46218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Fällmossa
Guldlockmossa
Gulpudrad spiklav</t>
        </is>
      </c>
      <c r="V11">
        <f>HYPERLINK("https://klasma.github.io/Logging_0683/artfynd/A 49187-2023 artfynd.xlsx", "A 49187-2023")</f>
        <v/>
      </c>
      <c r="W11">
        <f>HYPERLINK("https://klasma.github.io/Logging_0683/kartor/A 49187-2023 karta.png", "A 49187-2023")</f>
        <v/>
      </c>
      <c r="Y11">
        <f>HYPERLINK("https://klasma.github.io/Logging_0683/klagomål/A 49187-2023 FSC-klagomål.docx", "A 49187-2023")</f>
        <v/>
      </c>
      <c r="Z11">
        <f>HYPERLINK("https://klasma.github.io/Logging_0683/klagomålsmail/A 49187-2023 FSC-klagomål mail.docx", "A 49187-2023")</f>
        <v/>
      </c>
      <c r="AA11">
        <f>HYPERLINK("https://klasma.github.io/Logging_0683/tillsyn/A 49187-2023 tillsynsbegäran.docx", "A 49187-2023")</f>
        <v/>
      </c>
      <c r="AB11">
        <f>HYPERLINK("https://klasma.github.io/Logging_0683/tillsynsmail/A 49187-2023 tillsynsbegäran mail.docx", "A 49187-2023")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46218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Gulpudrad spiklav
Rostfläck
Sotlav</t>
        </is>
      </c>
      <c r="V12">
        <f>HYPERLINK("https://klasma.github.io/Logging_0683/artfynd/A 1050-2026 artfynd.xlsx", "A 1050-2026")</f>
        <v/>
      </c>
      <c r="W12">
        <f>HYPERLINK("https://klasma.github.io/Logging_0683/kartor/A 1050-2026 karta.png", "A 1050-2026")</f>
        <v/>
      </c>
      <c r="Y12">
        <f>HYPERLINK("https://klasma.github.io/Logging_0683/klagomål/A 1050-2026 FSC-klagomål.docx", "A 1050-2026")</f>
        <v/>
      </c>
      <c r="Z12">
        <f>HYPERLINK("https://klasma.github.io/Logging_0683/klagomålsmail/A 1050-2026 FSC-klagomål mail.docx", "A 1050-2026")</f>
        <v/>
      </c>
      <c r="AA12">
        <f>HYPERLINK("https://klasma.github.io/Logging_0683/tillsyn/A 1050-2026 tillsynsbegäran.docx", "A 1050-2026")</f>
        <v/>
      </c>
      <c r="AB12">
        <f>HYPERLINK("https://klasma.github.io/Logging_0683/tillsynsmail/A 1050-2026 tillsynsbegäran mail.docx", "A 1050-2026")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46218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s="2" t="inlineStr">
        <is>
          <t>Slåttergubbe
Hårginst
Klofibbla</t>
        </is>
      </c>
      <c r="V13">
        <f>HYPERLINK("https://klasma.github.io/Logging_0683/artfynd/A 15112-2026 artfynd.xlsx", "A 15112-2026")</f>
        <v/>
      </c>
      <c r="W13">
        <f>HYPERLINK("https://klasma.github.io/Logging_0683/kartor/A 15112-2026 karta.png", "A 15112-2026")</f>
        <v/>
      </c>
      <c r="Y13">
        <f>HYPERLINK("https://klasma.github.io/Logging_0683/klagomål/A 15112-2026 FSC-klagomål.docx", "A 15112-2026")</f>
        <v/>
      </c>
      <c r="Z13">
        <f>HYPERLINK("https://klasma.github.io/Logging_0683/klagomålsmail/A 15112-2026 FSC-klagomål mail.docx", "A 15112-2026")</f>
        <v/>
      </c>
      <c r="AA13">
        <f>HYPERLINK("https://klasma.github.io/Logging_0683/tillsyn/A 15112-2026 tillsynsbegäran.docx", "A 15112-2026")</f>
        <v/>
      </c>
      <c r="AB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46218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46218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46218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46218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46218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46218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23613-2023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45077</v>
      </c>
      <c r="E20" s="1" t="n">
        <v>46218</v>
      </c>
      <c r="F20" t="inlineStr">
        <is>
          <t>JÖNKÖPINGS LÄN</t>
        </is>
      </c>
      <c r="G20" t="inlineStr">
        <is>
          <t>VÄRNAMO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Lunglav</t>
        </is>
      </c>
      <c r="V20">
        <f>HYPERLINK("https://klasma.github.io/Logging_0683/artfynd/A 23613-2023 artfynd.xlsx", "A 23613-2023")</f>
        <v/>
      </c>
      <c r="W20">
        <f>HYPERLINK("https://klasma.github.io/Logging_0683/kartor/A 23613-2023 karta.png", "A 23613-2023")</f>
        <v/>
      </c>
      <c r="Y20">
        <f>HYPERLINK("https://klasma.github.io/Logging_0683/klagomål/A 23613-2023 FSC-klagomål.docx", "A 23613-2023")</f>
        <v/>
      </c>
      <c r="Z20">
        <f>HYPERLINK("https://klasma.github.io/Logging_0683/klagomålsmail/A 23613-2023 FSC-klagomål mail.docx", "A 23613-2023")</f>
        <v/>
      </c>
      <c r="AA20">
        <f>HYPERLINK("https://klasma.github.io/Logging_0683/tillsyn/A 23613-2023 tillsynsbegäran.docx", "A 23613-2023")</f>
        <v/>
      </c>
      <c r="AB20">
        <f>HYPERLINK("https://klasma.github.io/Logging_0683/tillsynsmail/A 23613-2023 tillsynsbegäran mail.docx", "A 23613-2023")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46218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Buskskvätta</t>
        </is>
      </c>
      <c r="V21">
        <f>HYPERLINK("https://klasma.github.io/Logging_0683/artfynd/A 17221-2025 artfynd.xlsx", "A 17221-2025")</f>
        <v/>
      </c>
      <c r="W21">
        <f>HYPERLINK("https://klasma.github.io/Logging_0683/kartor/A 17221-2025 karta.png", "A 17221-2025")</f>
        <v/>
      </c>
      <c r="Y21">
        <f>HYPERLINK("https://klasma.github.io/Logging_0683/klagomål/A 17221-2025 FSC-klagomål.docx", "A 17221-2025")</f>
        <v/>
      </c>
      <c r="Z21">
        <f>HYPERLINK("https://klasma.github.io/Logging_0683/klagomålsmail/A 17221-2025 FSC-klagomål mail.docx", "A 17221-2025")</f>
        <v/>
      </c>
      <c r="AA21">
        <f>HYPERLINK("https://klasma.github.io/Logging_0683/tillsyn/A 17221-2025 tillsynsbegäran.docx", "A 17221-2025")</f>
        <v/>
      </c>
      <c r="AB21">
        <f>HYPERLINK("https://klasma.github.io/Logging_0683/tillsynsmail/A 17221-2025 tillsynsbegäran mail.docx", "A 17221-2025")</f>
        <v/>
      </c>
    </row>
    <row r="22" ht="15" customHeight="1">
      <c r="A22" t="inlineStr">
        <is>
          <t>A 23370-2023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45076</v>
      </c>
      <c r="E22" s="1" t="n">
        <v>46218</v>
      </c>
      <c r="F22" t="inlineStr">
        <is>
          <t>JÖNKÖPINGS LÄN</t>
        </is>
      </c>
      <c r="G22" t="inlineStr">
        <is>
          <t>VÄRNAMO</t>
        </is>
      </c>
      <c r="I22" t="n">
        <v>4.7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Slåttergubbe</t>
        </is>
      </c>
      <c r="V22">
        <f>HYPERLINK("https://klasma.github.io/Logging_0683/artfynd/A 23370-2023 artfynd.xlsx", "A 23370-2023")</f>
        <v/>
      </c>
      <c r="W22">
        <f>HYPERLINK("https://klasma.github.io/Logging_0683/kartor/A 23370-2023 karta.png", "A 23370-2023")</f>
        <v/>
      </c>
      <c r="Y22">
        <f>HYPERLINK("https://klasma.github.io/Logging_0683/klagomål/A 23370-2023 FSC-klagomål.docx", "A 23370-2023")</f>
        <v/>
      </c>
      <c r="Z22">
        <f>HYPERLINK("https://klasma.github.io/Logging_0683/klagomålsmail/A 23370-2023 FSC-klagomål mail.docx", "A 23370-2023")</f>
        <v/>
      </c>
      <c r="AA22">
        <f>HYPERLINK("https://klasma.github.io/Logging_0683/tillsyn/A 23370-2023 tillsynsbegäran.docx", "A 23370-2023")</f>
        <v/>
      </c>
      <c r="AB22">
        <f>HYPERLINK("https://klasma.github.io/Logging_0683/tillsynsmail/A 23370-2023 tillsynsbegäran mail.docx", "A 23370-2023")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46218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HYPERLINK("https://klasma.github.io/Logging_0683/artfynd/A 20253-2025 artfynd.xlsx", "A 20253-2025")</f>
        <v/>
      </c>
      <c r="W23">
        <f>HYPERLINK("https://klasma.github.io/Logging_0683/kartor/A 20253-2025 karta.png", "A 20253-2025")</f>
        <v/>
      </c>
      <c r="Y23">
        <f>HYPERLINK("https://klasma.github.io/Logging_0683/klagomål/A 20253-2025 FSC-klagomål.docx", "A 20253-2025")</f>
        <v/>
      </c>
      <c r="Z23">
        <f>HYPERLINK("https://klasma.github.io/Logging_0683/klagomålsmail/A 20253-2025 FSC-klagomål mail.docx", "A 20253-2025")</f>
        <v/>
      </c>
      <c r="AA23">
        <f>HYPERLINK("https://klasma.github.io/Logging_0683/tillsyn/A 20253-2025 tillsynsbegäran.docx", "A 20253-2025")</f>
        <v/>
      </c>
      <c r="AB23">
        <f>HYPERLINK("https://klasma.github.io/Logging_0683/tillsynsmail/A 20253-2025 tillsynsbegäran mail.docx", "A 20253-2025")</f>
        <v/>
      </c>
    </row>
    <row r="24" ht="15" customHeight="1">
      <c r="A24" t="inlineStr">
        <is>
          <t>A 19078-2025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45766</v>
      </c>
      <c r="E24" s="1" t="n">
        <v>46218</v>
      </c>
      <c r="F24" t="inlineStr">
        <is>
          <t>JÖNKÖPINGS LÄN</t>
        </is>
      </c>
      <c r="G24" t="inlineStr">
        <is>
          <t>VÄRNAMO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HYPERLINK("https://klasma.github.io/Logging_0683/artfynd/A 19078-2025 artfynd.xlsx", "A 19078-2025")</f>
        <v/>
      </c>
      <c r="W24">
        <f>HYPERLINK("https://klasma.github.io/Logging_0683/kartor/A 19078-2025 karta.png", "A 19078-2025")</f>
        <v/>
      </c>
      <c r="X24">
        <f>HYPERLINK("https://klasma.github.io/Logging_0683/knärot/A 19078-2025 karta knärot.png", "A 19078-2025")</f>
        <v/>
      </c>
      <c r="Y24">
        <f>HYPERLINK("https://klasma.github.io/Logging_0683/klagomål/A 19078-2025 FSC-klagomål.docx", "A 19078-2025")</f>
        <v/>
      </c>
      <c r="Z24">
        <f>HYPERLINK("https://klasma.github.io/Logging_0683/klagomålsmail/A 19078-2025 FSC-klagomål mail.docx", "A 19078-2025")</f>
        <v/>
      </c>
      <c r="AA24">
        <f>HYPERLINK("https://klasma.github.io/Logging_0683/tillsyn/A 19078-2025 tillsynsbegäran.docx", "A 19078-2025")</f>
        <v/>
      </c>
      <c r="AB24">
        <f>HYPERLINK("https://klasma.github.io/Logging_0683/tillsynsmail/A 19078-2025 tillsynsbegäran mail.docx", "A 19078-2025")</f>
        <v/>
      </c>
    </row>
    <row r="25" ht="15" customHeight="1">
      <c r="A25" t="inlineStr">
        <is>
          <t>A 63418-2021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46218</v>
      </c>
      <c r="F25" t="inlineStr">
        <is>
          <t>JÖNKÖPINGS LÄN</t>
        </is>
      </c>
      <c r="G25" t="inlineStr">
        <is>
          <t>VÄRNAMO</t>
        </is>
      </c>
      <c r="I25" t="n">
        <v>8.4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Motaggsvamp</t>
        </is>
      </c>
      <c r="V25">
        <f>HYPERLINK("https://klasma.github.io/Logging_0683/artfynd/A 63418-2021 artfynd.xlsx", "A 63418-2021")</f>
        <v/>
      </c>
      <c r="W25">
        <f>HYPERLINK("https://klasma.github.io/Logging_0683/kartor/A 63418-2021 karta.png", "A 63418-2021")</f>
        <v/>
      </c>
      <c r="Y25">
        <f>HYPERLINK("https://klasma.github.io/Logging_0683/klagomål/A 63418-2021 FSC-klagomål.docx", "A 63418-2021")</f>
        <v/>
      </c>
      <c r="Z25">
        <f>HYPERLINK("https://klasma.github.io/Logging_0683/klagomålsmail/A 63418-2021 FSC-klagomål mail.docx", "A 63418-2021")</f>
        <v/>
      </c>
      <c r="AA25">
        <f>HYPERLINK("https://klasma.github.io/Logging_0683/tillsyn/A 63418-2021 tillsynsbegäran.docx", "A 63418-2021")</f>
        <v/>
      </c>
      <c r="AB25">
        <f>HYPERLINK("https://klasma.github.io/Logging_0683/tillsynsmail/A 63418-2021 tillsynsbegäran mail.docx", "A 63418-2021")</f>
        <v/>
      </c>
    </row>
    <row r="26" ht="15" customHeight="1">
      <c r="A26" t="inlineStr">
        <is>
          <t>A 48887-2023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45209</v>
      </c>
      <c r="E26" s="1" t="n">
        <v>46218</v>
      </c>
      <c r="F26" t="inlineStr">
        <is>
          <t>JÖNKÖPINGS LÄN</t>
        </is>
      </c>
      <c r="G26" t="inlineStr">
        <is>
          <t>VÄRNAMO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HYPERLINK("https://klasma.github.io/Logging_0683/artfynd/A 48887-2023 artfynd.xlsx", "A 48887-2023")</f>
        <v/>
      </c>
      <c r="W26">
        <f>HYPERLINK("https://klasma.github.io/Logging_0683/kartor/A 48887-2023 karta.png", "A 48887-2023")</f>
        <v/>
      </c>
      <c r="Y26">
        <f>HYPERLINK("https://klasma.github.io/Logging_0683/klagomål/A 48887-2023 FSC-klagomål.docx", "A 48887-2023")</f>
        <v/>
      </c>
      <c r="Z26">
        <f>HYPERLINK("https://klasma.github.io/Logging_0683/klagomålsmail/A 48887-2023 FSC-klagomål mail.docx", "A 48887-2023")</f>
        <v/>
      </c>
      <c r="AA26">
        <f>HYPERLINK("https://klasma.github.io/Logging_0683/tillsyn/A 48887-2023 tillsynsbegäran.docx", "A 48887-2023")</f>
        <v/>
      </c>
      <c r="AB26">
        <f>HYPERLINK("https://klasma.github.io/Logging_0683/tillsynsmail/A 48887-2023 tillsynsbegäran mail.docx", "A 48887-2023")</f>
        <v/>
      </c>
    </row>
    <row r="27" ht="15" customHeight="1">
      <c r="A27" t="inlineStr">
        <is>
          <t>A 5761-2024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46218</v>
      </c>
      <c r="F27" t="inlineStr">
        <is>
          <t>JÖNKÖPINGS LÄN</t>
        </is>
      </c>
      <c r="G27" t="inlineStr">
        <is>
          <t>VÄRNAMO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Fällmossa</t>
        </is>
      </c>
      <c r="V27">
        <f>HYPERLINK("https://klasma.github.io/Logging_0683/artfynd/A 5761-2024 artfynd.xlsx", "A 5761-2024")</f>
        <v/>
      </c>
      <c r="W27">
        <f>HYPERLINK("https://klasma.github.io/Logging_0683/kartor/A 5761-2024 karta.png", "A 5761-2024")</f>
        <v/>
      </c>
      <c r="Y27">
        <f>HYPERLINK("https://klasma.github.io/Logging_0683/klagomål/A 5761-2024 FSC-klagomål.docx", "A 5761-2024")</f>
        <v/>
      </c>
      <c r="Z27">
        <f>HYPERLINK("https://klasma.github.io/Logging_0683/klagomålsmail/A 5761-2024 FSC-klagomål mail.docx", "A 5761-2024")</f>
        <v/>
      </c>
      <c r="AA27">
        <f>HYPERLINK("https://klasma.github.io/Logging_0683/tillsyn/A 5761-2024 tillsynsbegäran.docx", "A 5761-2024")</f>
        <v/>
      </c>
      <c r="AB27">
        <f>HYPERLINK("https://klasma.github.io/Logging_0683/tillsynsmail/A 5761-2024 tillsynsbegäran mail.docx", "A 5761-2024")</f>
        <v/>
      </c>
    </row>
    <row r="28" ht="15" customHeight="1">
      <c r="A28" t="inlineStr">
        <is>
          <t>A 61264-2023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46218</v>
      </c>
      <c r="F28" t="inlineStr">
        <is>
          <t>JÖNKÖPINGS LÄN</t>
        </is>
      </c>
      <c r="G28" t="inlineStr">
        <is>
          <t>VÄRNAMO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Gullpudra</t>
        </is>
      </c>
      <c r="V28">
        <f>HYPERLINK("https://klasma.github.io/Logging_0683/artfynd/A 61264-2023 artfynd.xlsx", "A 61264-2023")</f>
        <v/>
      </c>
      <c r="W28">
        <f>HYPERLINK("https://klasma.github.io/Logging_0683/kartor/A 61264-2023 karta.png", "A 61264-2023")</f>
        <v/>
      </c>
      <c r="Y28">
        <f>HYPERLINK("https://klasma.github.io/Logging_0683/klagomål/A 61264-2023 FSC-klagomål.docx", "A 61264-2023")</f>
        <v/>
      </c>
      <c r="Z28">
        <f>HYPERLINK("https://klasma.github.io/Logging_0683/klagomålsmail/A 61264-2023 FSC-klagomål mail.docx", "A 61264-2023")</f>
        <v/>
      </c>
      <c r="AA28">
        <f>HYPERLINK("https://klasma.github.io/Logging_0683/tillsyn/A 61264-2023 tillsynsbegäran.docx", "A 61264-2023")</f>
        <v/>
      </c>
      <c r="AB28">
        <f>HYPERLINK("https://klasma.github.io/Logging_0683/tillsynsmail/A 61264-2023 tillsynsbegäran mail.docx", "A 61264-2023")</f>
        <v/>
      </c>
    </row>
    <row r="29" ht="15" customHeight="1">
      <c r="A29" t="inlineStr">
        <is>
          <t>A 9986-2023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44979</v>
      </c>
      <c r="E29" s="1" t="n">
        <v>46218</v>
      </c>
      <c r="F29" t="inlineStr">
        <is>
          <t>JÖNKÖPINGS LÄN</t>
        </is>
      </c>
      <c r="G29" t="inlineStr">
        <is>
          <t>VÄRNAMO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Hasselmus</t>
        </is>
      </c>
      <c r="V29">
        <f>HYPERLINK("https://klasma.github.io/Logging_0683/artfynd/A 9986-2023 artfynd.xlsx", "A 9986-2023")</f>
        <v/>
      </c>
      <c r="W29">
        <f>HYPERLINK("https://klasma.github.io/Logging_0683/kartor/A 9986-2023 karta.png", "A 9986-2023")</f>
        <v/>
      </c>
      <c r="Y29">
        <f>HYPERLINK("https://klasma.github.io/Logging_0683/klagomål/A 9986-2023 FSC-klagomål.docx", "A 9986-2023")</f>
        <v/>
      </c>
      <c r="Z29">
        <f>HYPERLINK("https://klasma.github.io/Logging_0683/klagomålsmail/A 9986-2023 FSC-klagomål mail.docx", "A 9986-2023")</f>
        <v/>
      </c>
      <c r="AA29">
        <f>HYPERLINK("https://klasma.github.io/Logging_0683/tillsyn/A 9986-2023 tillsynsbegäran.docx", "A 9986-2023")</f>
        <v/>
      </c>
      <c r="AB29">
        <f>HYPERLINK("https://klasma.github.io/Logging_0683/tillsynsmail/A 9986-2023 tillsynsbegäran mail.docx", "A 9986-2023")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46218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Y30">
        <f>HYPERLINK("https://klasma.github.io/Logging_0683/klagomål/A 9042-2025 FSC-klagomål.docx", "A 9042-2025")</f>
        <v/>
      </c>
      <c r="Z30">
        <f>HYPERLINK("https://klasma.github.io/Logging_0683/klagomålsmail/A 9042-2025 FSC-klagomål mail.docx", "A 9042-2025")</f>
        <v/>
      </c>
      <c r="AA30">
        <f>HYPERLINK("https://klasma.github.io/Logging_0683/tillsyn/A 9042-2025 tillsynsbegäran.docx", "A 9042-2025")</f>
        <v/>
      </c>
      <c r="AB30">
        <f>HYPERLINK("https://klasma.github.io/Logging_0683/tillsynsmail/A 9042-2025 tillsynsbegäran mail.docx", "A 9042-2025")</f>
        <v/>
      </c>
    </row>
    <row r="31" ht="15" customHeight="1">
      <c r="A31" t="inlineStr">
        <is>
          <t>A 33366-2025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46218</v>
      </c>
      <c r="F31" t="inlineStr">
        <is>
          <t>JÖNKÖPINGS LÄN</t>
        </is>
      </c>
      <c r="G31" t="inlineStr">
        <is>
          <t>VÄRNAMO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Strandlummer</t>
        </is>
      </c>
      <c r="V31">
        <f>HYPERLINK("https://klasma.github.io/Logging_0683/artfynd/A 33366-2025 artfynd.xlsx", "A 33366-2025")</f>
        <v/>
      </c>
      <c r="W31">
        <f>HYPERLINK("https://klasma.github.io/Logging_0683/kartor/A 33366-2025 karta.png", "A 33366-2025")</f>
        <v/>
      </c>
      <c r="Y31">
        <f>HYPERLINK("https://klasma.github.io/Logging_0683/klagomål/A 33366-2025 FSC-klagomål.docx", "A 33366-2025")</f>
        <v/>
      </c>
      <c r="Z31">
        <f>HYPERLINK("https://klasma.github.io/Logging_0683/klagomålsmail/A 33366-2025 FSC-klagomål mail.docx", "A 33366-2025")</f>
        <v/>
      </c>
      <c r="AA31">
        <f>HYPERLINK("https://klasma.github.io/Logging_0683/tillsyn/A 33366-2025 tillsynsbegäran.docx", "A 33366-2025")</f>
        <v/>
      </c>
      <c r="AB31">
        <f>HYPERLINK("https://klasma.github.io/Logging_0683/tillsynsmail/A 33366-2025 tillsynsbegäran mail.docx", "A 33366-2025")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46218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Gullpudra</t>
        </is>
      </c>
      <c r="V32">
        <f>HYPERLINK("https://klasma.github.io/Logging_0683/artfynd/A 37198-2024 artfynd.xlsx", "A 37198-2024")</f>
        <v/>
      </c>
      <c r="W32">
        <f>HYPERLINK("https://klasma.github.io/Logging_0683/kartor/A 37198-2024 karta.png", "A 37198-2024")</f>
        <v/>
      </c>
      <c r="Y32">
        <f>HYPERLINK("https://klasma.github.io/Logging_0683/klagomål/A 37198-2024 FSC-klagomål.docx", "A 37198-2024")</f>
        <v/>
      </c>
      <c r="Z32">
        <f>HYPERLINK("https://klasma.github.io/Logging_0683/klagomålsmail/A 37198-2024 FSC-klagomål mail.docx", "A 37198-2024")</f>
        <v/>
      </c>
      <c r="AA32">
        <f>HYPERLINK("https://klasma.github.io/Logging_0683/tillsyn/A 37198-2024 tillsynsbegäran.docx", "A 37198-2024")</f>
        <v/>
      </c>
      <c r="AB32">
        <f>HYPERLINK("https://klasma.github.io/Logging_0683/tillsynsmail/A 37198-2024 tillsynsbegäran mail.docx", "A 37198-2024")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46218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HYPERLINK("https://klasma.github.io/Logging_0683/artfynd/A 27295-2026 artfynd.xlsx", "A 27295-2026")</f>
        <v/>
      </c>
      <c r="W33">
        <f>HYPERLINK("https://klasma.github.io/Logging_0683/kartor/A 27295-2026 karta.png", "A 27295-2026")</f>
        <v/>
      </c>
      <c r="Y33">
        <f>HYPERLINK("https://klasma.github.io/Logging_0683/klagomål/A 27295-2026 FSC-klagomål.docx", "A 27295-2026")</f>
        <v/>
      </c>
      <c r="Z33">
        <f>HYPERLINK("https://klasma.github.io/Logging_0683/klagomålsmail/A 27295-2026 FSC-klagomål mail.docx", "A 27295-2026")</f>
        <v/>
      </c>
      <c r="AA33">
        <f>HYPERLINK("https://klasma.github.io/Logging_0683/tillsyn/A 27295-2026 tillsynsbegäran.docx", "A 27295-2026")</f>
        <v/>
      </c>
      <c r="AB33">
        <f>HYPERLINK("https://klasma.github.io/Logging_0683/tillsynsmail/A 27295-2026 tillsynsbegäran mail.docx", "A 27295-2026")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46218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HYPERLINK("https://klasma.github.io/Logging_0683/artfynd/A 53528-2023 artfynd.xlsx", "A 53528-2023")</f>
        <v/>
      </c>
      <c r="W34">
        <f>HYPERLINK("https://klasma.github.io/Logging_0683/kartor/A 53528-2023 karta.png", "A 53528-2023")</f>
        <v/>
      </c>
      <c r="Y34">
        <f>HYPERLINK("https://klasma.github.io/Logging_0683/klagomål/A 53528-2023 FSC-klagomål.docx", "A 53528-2023")</f>
        <v/>
      </c>
      <c r="Z34">
        <f>HYPERLINK("https://klasma.github.io/Logging_0683/klagomålsmail/A 53528-2023 FSC-klagomål mail.docx", "A 53528-2023")</f>
        <v/>
      </c>
      <c r="AA34">
        <f>HYPERLINK("https://klasma.github.io/Logging_0683/tillsyn/A 53528-2023 tillsynsbegäran.docx", "A 53528-2023")</f>
        <v/>
      </c>
      <c r="AB34">
        <f>HYPERLINK("https://klasma.github.io/Logging_0683/tillsynsmail/A 53528-2023 tillsynsbegäran mail.docx", "A 53528-2023")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46218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s="2" t="inlineStr">
        <is>
          <t>Rostfläck</t>
        </is>
      </c>
      <c r="V35">
        <f>HYPERLINK("https://klasma.github.io/Logging_0683/artfynd/A 28002-2026 artfynd.xlsx", "A 28002-2026")</f>
        <v/>
      </c>
      <c r="W35">
        <f>HYPERLINK("https://klasma.github.io/Logging_0683/kartor/A 28002-2026 karta.png", "A 28002-2026")</f>
        <v/>
      </c>
      <c r="Y35">
        <f>HYPERLINK("https://klasma.github.io/Logging_0683/klagomål/A 28002-2026 FSC-klagomål.docx", "A 28002-2026")</f>
        <v/>
      </c>
      <c r="Z35">
        <f>HYPERLINK("https://klasma.github.io/Logging_0683/klagomålsmail/A 28002-2026 FSC-klagomål mail.docx", "A 28002-2026")</f>
        <v/>
      </c>
      <c r="AA35">
        <f>HYPERLINK("https://klasma.github.io/Logging_0683/tillsyn/A 28002-2026 tillsynsbegäran.docx", "A 28002-2026")</f>
        <v/>
      </c>
      <c r="AB35">
        <f>HYPERLINK("https://klasma.github.io/Logging_0683/tillsynsmail/A 28002-2026 tillsynsbegäran mail.docx", "A 28002-2026")</f>
        <v/>
      </c>
    </row>
    <row r="36" ht="15" customHeight="1">
      <c r="A36" t="inlineStr">
        <is>
          <t>A 26198-2023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45091</v>
      </c>
      <c r="E36" s="1" t="n">
        <v>46218</v>
      </c>
      <c r="F36" t="inlineStr">
        <is>
          <t>JÖNKÖPINGS LÄN</t>
        </is>
      </c>
      <c r="G36" t="inlineStr">
        <is>
          <t>VÄRNAMO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HYPERLINK("https://klasma.github.io/Logging_0683/artfynd/A 26198-2023 artfynd.xlsx", "A 26198-2023")</f>
        <v/>
      </c>
      <c r="W36">
        <f>HYPERLINK("https://klasma.github.io/Logging_0683/kartor/A 26198-2023 karta.png", "A 26198-2023")</f>
        <v/>
      </c>
      <c r="Y36">
        <f>HYPERLINK("https://klasma.github.io/Logging_0683/klagomål/A 26198-2023 FSC-klagomål.docx", "A 26198-2023")</f>
        <v/>
      </c>
      <c r="Z36">
        <f>HYPERLINK("https://klasma.github.io/Logging_0683/klagomålsmail/A 26198-2023 FSC-klagomål mail.docx", "A 26198-2023")</f>
        <v/>
      </c>
      <c r="AA36">
        <f>HYPERLINK("https://klasma.github.io/Logging_0683/tillsyn/A 26198-2023 tillsynsbegäran.docx", "A 26198-2023")</f>
        <v/>
      </c>
      <c r="AB36">
        <f>HYPERLINK("https://klasma.github.io/Logging_0683/tillsynsmail/A 26198-2023 tillsynsbegäran mail.docx", "A 26198-2023")</f>
        <v/>
      </c>
    </row>
    <row r="37" ht="15" customHeight="1">
      <c r="A37" t="inlineStr">
        <is>
          <t>A 23920-2026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46218</v>
      </c>
      <c r="F37" t="inlineStr">
        <is>
          <t>JÖNKÖPINGS LÄN</t>
        </is>
      </c>
      <c r="G37" t="inlineStr">
        <is>
          <t>VÄRNAMO</t>
        </is>
      </c>
      <c r="I37" t="n">
        <v>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Brandticka</t>
        </is>
      </c>
      <c r="V37">
        <f>HYPERLINK("https://klasma.github.io/Logging_0683/artfynd/A 23920-2026 artfynd.xlsx", "A 23920-2026")</f>
        <v/>
      </c>
      <c r="W37">
        <f>HYPERLINK("https://klasma.github.io/Logging_0683/kartor/A 23920-2026 karta.png", "A 23920-2026")</f>
        <v/>
      </c>
      <c r="Y37">
        <f>HYPERLINK("https://klasma.github.io/Logging_0683/klagomål/A 23920-2026 FSC-klagomål.docx", "A 23920-2026")</f>
        <v/>
      </c>
      <c r="Z37">
        <f>HYPERLINK("https://klasma.github.io/Logging_0683/klagomålsmail/A 23920-2026 FSC-klagomål mail.docx", "A 23920-2026")</f>
        <v/>
      </c>
      <c r="AA37">
        <f>HYPERLINK("https://klasma.github.io/Logging_0683/tillsyn/A 23920-2026 tillsynsbegäran.docx", "A 23920-2026")</f>
        <v/>
      </c>
      <c r="AB37">
        <f>HYPERLINK("https://klasma.github.io/Logging_0683/tillsynsmail/A 23920-2026 tillsynsbegäran mail.docx", "A 23920-2026")</f>
        <v/>
      </c>
    </row>
    <row r="38" ht="15" customHeight="1">
      <c r="A38" t="inlineStr">
        <is>
          <t>A 10842-2026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46078</v>
      </c>
      <c r="E38" s="1" t="n">
        <v>46218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Klockgentiana</t>
        </is>
      </c>
      <c r="V38">
        <f>HYPERLINK("https://klasma.github.io/Logging_0683/artfynd/A 10842-2026 artfynd.xlsx", "A 10842-2026")</f>
        <v/>
      </c>
      <c r="W38">
        <f>HYPERLINK("https://klasma.github.io/Logging_0683/kartor/A 10842-2026 karta.png", "A 10842-2026")</f>
        <v/>
      </c>
      <c r="Y38">
        <f>HYPERLINK("https://klasma.github.io/Logging_0683/klagomål/A 10842-2026 FSC-klagomål.docx", "A 10842-2026")</f>
        <v/>
      </c>
      <c r="Z38">
        <f>HYPERLINK("https://klasma.github.io/Logging_0683/klagomålsmail/A 10842-2026 FSC-klagomål mail.docx", "A 10842-2026")</f>
        <v/>
      </c>
      <c r="AA38">
        <f>HYPERLINK("https://klasma.github.io/Logging_0683/tillsyn/A 10842-2026 tillsynsbegäran.docx", "A 10842-2026")</f>
        <v/>
      </c>
      <c r="AB38">
        <f>HYPERLINK("https://klasma.github.io/Logging_0683/tillsynsmail/A 10842-2026 tillsynsbegäran mail.docx", "A 10842-2026")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46218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Y39">
        <f>HYPERLINK("https://klasma.github.io/Logging_0683/klagomål/S 1545-2020 FSC-klagomål.docx", "S 1545-2020")</f>
        <v/>
      </c>
      <c r="Z39">
        <f>HYPERLINK("https://klasma.github.io/Logging_0683/klagomålsmail/S 1545-2020 FSC-klagomål mail.docx", "S 1545-2020")</f>
        <v/>
      </c>
      <c r="AA39">
        <f>HYPERLINK("https://klasma.github.io/Logging_0683/tillsyn/S 1545-2020 tillsynsbegäran.docx", "S 1545-2020")</f>
        <v/>
      </c>
      <c r="AB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46218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Y40">
        <f>HYPERLINK("https://klasma.github.io/Logging_0683/klagomål/S 1527-2024 FSC-klagomål.docx", "S 1527-2024")</f>
        <v/>
      </c>
      <c r="Z40">
        <f>HYPERLINK("https://klasma.github.io/Logging_0683/klagomålsmail/S 1527-2024 FSC-klagomål mail.docx", "S 1527-2024")</f>
        <v/>
      </c>
      <c r="AA40">
        <f>HYPERLINK("https://klasma.github.io/Logging_0683/tillsyn/S 1527-2024 tillsynsbegäran.docx", "S 1527-2024")</f>
        <v/>
      </c>
      <c r="AB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46218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Y41">
        <f>HYPERLINK("https://klasma.github.io/Logging_0683/klagomål/S 1452-2024 FSC-klagomål.docx", "S 1452-2024")</f>
        <v/>
      </c>
      <c r="Z41">
        <f>HYPERLINK("https://klasma.github.io/Logging_0683/klagomålsmail/S 1452-2024 FSC-klagomål mail.docx", "S 1452-2024")</f>
        <v/>
      </c>
      <c r="AA41">
        <f>HYPERLINK("https://klasma.github.io/Logging_0683/tillsyn/S 1452-2024 tillsynsbegäran.docx", "S 1452-2024")</f>
        <v/>
      </c>
      <c r="AB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46218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Y42">
        <f>HYPERLINK("https://klasma.github.io/Logging_0683/klagomål/S 3469-2025 FSC-klagomål.docx", "S 3469-2025")</f>
        <v/>
      </c>
      <c r="Z42">
        <f>HYPERLINK("https://klasma.github.io/Logging_0683/klagomålsmail/S 3469-2025 FSC-klagomål mail.docx", "S 3469-2025")</f>
        <v/>
      </c>
      <c r="AA42">
        <f>HYPERLINK("https://klasma.github.io/Logging_0683/tillsyn/S 3469-2025 tillsynsbegäran.docx", "S 3469-2025")</f>
        <v/>
      </c>
      <c r="AB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46218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Y43">
        <f>HYPERLINK("https://klasma.github.io/Logging_0683/klagomål/S 3470-2025 FSC-klagomål.docx", "S 3470-2025")</f>
        <v/>
      </c>
      <c r="Z43">
        <f>HYPERLINK("https://klasma.github.io/Logging_0683/klagomålsmail/S 3470-2025 FSC-klagomål mail.docx", "S 3470-2025")</f>
        <v/>
      </c>
      <c r="AA43">
        <f>HYPERLINK("https://klasma.github.io/Logging_0683/tillsyn/S 3470-2025 tillsynsbegäran.docx", "S 3470-2025")</f>
        <v/>
      </c>
      <c r="AB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46218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46218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46218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46218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40968-2021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44421</v>
      </c>
      <c r="E48" s="1" t="n">
        <v>46218</v>
      </c>
      <c r="F48" t="inlineStr">
        <is>
          <t>JÖNKÖPINGS LÄN</t>
        </is>
      </c>
      <c r="G48" t="inlineStr">
        <is>
          <t>VÄRNAMO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46218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46218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46218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46218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46218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46218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46218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46218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46218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46218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46218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46218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46218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46218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46218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46218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46218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46218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46218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46218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46218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46218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46218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46218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46218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46218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46218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46218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46218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46218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46218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46218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46218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46218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46218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46218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46218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46218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46218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46218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46218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61912-2021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44502</v>
      </c>
      <c r="E90" s="1" t="n">
        <v>46218</v>
      </c>
      <c r="F90" t="inlineStr">
        <is>
          <t>JÖNKÖPINGS LÄN</t>
        </is>
      </c>
      <c r="G90" t="inlineStr">
        <is>
          <t>VÄRNAMO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67881-2021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46218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44848</v>
      </c>
      <c r="E92" s="1" t="n">
        <v>46218</v>
      </c>
      <c r="F92" t="inlineStr">
        <is>
          <t>JÖNKÖPINGS LÄN</t>
        </is>
      </c>
      <c r="G92" t="inlineStr">
        <is>
          <t>VÄRNAMO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53966-2021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46218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41820-2021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44425</v>
      </c>
      <c r="E94" s="1" t="n">
        <v>46218</v>
      </c>
      <c r="F94" t="inlineStr">
        <is>
          <t>JÖNKÖPINGS LÄN</t>
        </is>
      </c>
      <c r="G94" t="inlineStr">
        <is>
          <t>VÄRNAMO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46218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31735-2022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44776</v>
      </c>
      <c r="E96" s="1" t="n">
        <v>46218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44440</v>
      </c>
      <c r="E97" s="1" t="n">
        <v>46218</v>
      </c>
      <c r="F97" t="inlineStr">
        <is>
          <t>JÖNKÖPINGS LÄN</t>
        </is>
      </c>
      <c r="G97" t="inlineStr">
        <is>
          <t>VÄRNAMO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46218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46218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13619-2022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46218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46218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30115-2022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44757</v>
      </c>
      <c r="E102" s="1" t="n">
        <v>46218</v>
      </c>
      <c r="F102" t="inlineStr">
        <is>
          <t>JÖNKÖPINGS LÄN</t>
        </is>
      </c>
      <c r="G102" t="inlineStr">
        <is>
          <t>VÄRNAMO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60378-2021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46218</v>
      </c>
      <c r="F103" t="inlineStr">
        <is>
          <t>JÖNKÖPINGS LÄN</t>
        </is>
      </c>
      <c r="G103" t="inlineStr">
        <is>
          <t>VÄRNAMO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47103-2021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46218</v>
      </c>
      <c r="F104" t="inlineStr">
        <is>
          <t>JÖNKÖPINGS LÄN</t>
        </is>
      </c>
      <c r="G104" t="inlineStr">
        <is>
          <t>VÄRNAMO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24702-2022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44727</v>
      </c>
      <c r="E105" s="1" t="n">
        <v>46218</v>
      </c>
      <c r="F105" t="inlineStr">
        <is>
          <t>JÖNKÖPINGS LÄN</t>
        </is>
      </c>
      <c r="G105" t="inlineStr">
        <is>
          <t>VÄRNAMO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46218</v>
      </c>
      <c r="F106" t="inlineStr">
        <is>
          <t>JÖNKÖPINGS LÄN</t>
        </is>
      </c>
      <c r="G106" t="inlineStr">
        <is>
          <t>VÄRNAMO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46218</v>
      </c>
      <c r="F107" t="inlineStr">
        <is>
          <t>JÖNKÖPINGS LÄN</t>
        </is>
      </c>
      <c r="G107" t="inlineStr">
        <is>
          <t>VÄRNAMO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40852-2022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44825</v>
      </c>
      <c r="E108" s="1" t="n">
        <v>46218</v>
      </c>
      <c r="F108" t="inlineStr">
        <is>
          <t>JÖNKÖPINGS LÄN</t>
        </is>
      </c>
      <c r="G108" t="inlineStr">
        <is>
          <t>VÄRNAMO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47649-2022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44854</v>
      </c>
      <c r="E109" s="1" t="n">
        <v>46218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47664-2021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44448</v>
      </c>
      <c r="E110" s="1" t="n">
        <v>46218</v>
      </c>
      <c r="F110" t="inlineStr">
        <is>
          <t>JÖNKÖPINGS LÄN</t>
        </is>
      </c>
      <c r="G110" t="inlineStr">
        <is>
          <t>VÄRNAMO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15577-2022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46218</v>
      </c>
      <c r="F111" t="inlineStr">
        <is>
          <t>JÖNKÖPINGS LÄN</t>
        </is>
      </c>
      <c r="G111" t="inlineStr">
        <is>
          <t>VÄRNAMO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63656-2023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46218</v>
      </c>
      <c r="F112" t="inlineStr">
        <is>
          <t>JÖNKÖPINGS LÄN</t>
        </is>
      </c>
      <c r="G112" t="inlineStr">
        <is>
          <t>VÄRNAMO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46218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74127-2021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44557</v>
      </c>
      <c r="E114" s="1" t="n">
        <v>46218</v>
      </c>
      <c r="F114" t="inlineStr">
        <is>
          <t>JÖNKÖPINGS LÄN</t>
        </is>
      </c>
      <c r="G114" t="inlineStr">
        <is>
          <t>VÄRNAMO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48131-2021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44449</v>
      </c>
      <c r="E115" s="1" t="n">
        <v>46218</v>
      </c>
      <c r="F115" t="inlineStr">
        <is>
          <t>JÖNKÖPINGS LÄN</t>
        </is>
      </c>
      <c r="G115" t="inlineStr">
        <is>
          <t>VÄRNAMO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57371-2023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46218</v>
      </c>
      <c r="F116" t="inlineStr">
        <is>
          <t>JÖNKÖPINGS LÄN</t>
        </is>
      </c>
      <c r="G116" t="inlineStr">
        <is>
          <t>VÄRNAMO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4185-2024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45324</v>
      </c>
      <c r="E117" s="1" t="n">
        <v>46218</v>
      </c>
      <c r="F117" t="inlineStr">
        <is>
          <t>JÖNKÖPINGS LÄN</t>
        </is>
      </c>
      <c r="G117" t="inlineStr">
        <is>
          <t>VÄRNAMO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45280-2024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45576</v>
      </c>
      <c r="E118" s="1" t="n">
        <v>46218</v>
      </c>
      <c r="F118" t="inlineStr">
        <is>
          <t>JÖNKÖPINGS LÄN</t>
        </is>
      </c>
      <c r="G118" t="inlineStr">
        <is>
          <t>VÄRNAMO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23838-2022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46218</v>
      </c>
      <c r="F119" t="inlineStr">
        <is>
          <t>JÖNKÖPINGS LÄN</t>
        </is>
      </c>
      <c r="G119" t="inlineStr">
        <is>
          <t>VÄRNAMO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46218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13190-2024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46218</v>
      </c>
      <c r="F121" t="inlineStr">
        <is>
          <t>JÖNKÖPINGS LÄN</t>
        </is>
      </c>
      <c r="G121" t="inlineStr">
        <is>
          <t>VÄRNAMO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45120-2023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45191</v>
      </c>
      <c r="E122" s="1" t="n">
        <v>46218</v>
      </c>
      <c r="F122" t="inlineStr">
        <is>
          <t>JÖNKÖPINGS LÄN</t>
        </is>
      </c>
      <c r="G122" t="inlineStr">
        <is>
          <t>VÄRNAMO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46218</v>
      </c>
      <c r="F123" t="inlineStr">
        <is>
          <t>JÖNKÖPINGS LÄN</t>
        </is>
      </c>
      <c r="G123" t="inlineStr">
        <is>
          <t>VÄRNAMO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45444-2023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45194</v>
      </c>
      <c r="E124" s="1" t="n">
        <v>46218</v>
      </c>
      <c r="F124" t="inlineStr">
        <is>
          <t>JÖNKÖPINGS LÄN</t>
        </is>
      </c>
      <c r="G124" t="inlineStr">
        <is>
          <t>VÄRNAMO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25102-2022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46218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61351-2023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46218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46218</v>
      </c>
      <c r="F127" t="inlineStr">
        <is>
          <t>JÖNKÖPINGS LÄN</t>
        </is>
      </c>
      <c r="G127" t="inlineStr">
        <is>
          <t>VÄRNAMO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26276-2023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46218</v>
      </c>
      <c r="F128" t="inlineStr">
        <is>
          <t>JÖNKÖPINGS LÄN</t>
        </is>
      </c>
      <c r="G128" t="inlineStr">
        <is>
          <t>VÄRNAMO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45270</v>
      </c>
      <c r="E129" s="1" t="n">
        <v>46218</v>
      </c>
      <c r="F129" t="inlineStr">
        <is>
          <t>JÖNKÖPINGS LÄN</t>
        </is>
      </c>
      <c r="G129" t="inlineStr">
        <is>
          <t>VÄRNAMO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32374-2024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46218</v>
      </c>
      <c r="F130" t="inlineStr">
        <is>
          <t>JÖNKÖPINGS LÄN</t>
        </is>
      </c>
      <c r="G130" t="inlineStr">
        <is>
          <t>VÄRNAMO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59757-2021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46218</v>
      </c>
      <c r="F131" t="inlineStr">
        <is>
          <t>JÖNKÖPINGS LÄN</t>
        </is>
      </c>
      <c r="G131" t="inlineStr">
        <is>
          <t>VÄRNAMO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35266-2025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46218</v>
      </c>
      <c r="F132" t="inlineStr">
        <is>
          <t>JÖNKÖPINGS LÄN</t>
        </is>
      </c>
      <c r="G132" t="inlineStr">
        <is>
          <t>VÄRNAMO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56272-2022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46218</v>
      </c>
      <c r="F133" t="inlineStr">
        <is>
          <t>JÖNKÖPINGS LÄN</t>
        </is>
      </c>
      <c r="G133" t="inlineStr">
        <is>
          <t>VÄRNAMO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29166-2023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45105</v>
      </c>
      <c r="E134" s="1" t="n">
        <v>46218</v>
      </c>
      <c r="F134" t="inlineStr">
        <is>
          <t>JÖNKÖPINGS LÄN</t>
        </is>
      </c>
      <c r="G134" t="inlineStr">
        <is>
          <t>VÄRNAMO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45674</v>
      </c>
      <c r="E135" s="1" t="n">
        <v>46218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47968-2022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44853</v>
      </c>
      <c r="E136" s="1" t="n">
        <v>46218</v>
      </c>
      <c r="F136" t="inlineStr">
        <is>
          <t>JÖNKÖPINGS LÄN</t>
        </is>
      </c>
      <c r="G136" t="inlineStr">
        <is>
          <t>VÄRNAMO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47987-2022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44853</v>
      </c>
      <c r="E137" s="1" t="n">
        <v>46218</v>
      </c>
      <c r="F137" t="inlineStr">
        <is>
          <t>JÖNKÖPINGS LÄN</t>
        </is>
      </c>
      <c r="G137" t="inlineStr">
        <is>
          <t>VÄRNAMO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14211-2023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45009</v>
      </c>
      <c r="E138" s="1" t="n">
        <v>46218</v>
      </c>
      <c r="F138" t="inlineStr">
        <is>
          <t>JÖNKÖPINGS LÄN</t>
        </is>
      </c>
      <c r="G138" t="inlineStr">
        <is>
          <t>VÄRNAMO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46985-2024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46218</v>
      </c>
      <c r="F139" t="inlineStr">
        <is>
          <t>JÖNKÖPINGS LÄN</t>
        </is>
      </c>
      <c r="G139" t="inlineStr">
        <is>
          <t>VÄRNAMO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46218</v>
      </c>
      <c r="F140" t="inlineStr">
        <is>
          <t>JÖNKÖPINGS LÄN</t>
        </is>
      </c>
      <c r="G140" t="inlineStr">
        <is>
          <t>VÄRNAMO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40226-2024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46218</v>
      </c>
      <c r="F141" t="inlineStr">
        <is>
          <t>JÖNKÖPINGS LÄN</t>
        </is>
      </c>
      <c r="G141" t="inlineStr">
        <is>
          <t>VÄRNAMO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39218-2023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46218</v>
      </c>
      <c r="F142" t="inlineStr">
        <is>
          <t>JÖNKÖPINGS LÄN</t>
        </is>
      </c>
      <c r="G142" t="inlineStr">
        <is>
          <t>VÄRNAMO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10540-2025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46218</v>
      </c>
      <c r="F143" t="inlineStr">
        <is>
          <t>JÖNKÖPINGS LÄN</t>
        </is>
      </c>
      <c r="G143" t="inlineStr">
        <is>
          <t>VÄRNAMO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17468-2023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45036</v>
      </c>
      <c r="E144" s="1" t="n">
        <v>46218</v>
      </c>
      <c r="F144" t="inlineStr">
        <is>
          <t>JÖNKÖPINGS LÄN</t>
        </is>
      </c>
      <c r="G144" t="inlineStr">
        <is>
          <t>VÄRNAMO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35264-2025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45853</v>
      </c>
      <c r="E145" s="1" t="n">
        <v>46218</v>
      </c>
      <c r="F145" t="inlineStr">
        <is>
          <t>JÖNKÖPINGS LÄN</t>
        </is>
      </c>
      <c r="G145" t="inlineStr">
        <is>
          <t>VÄRNAMO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39363-2025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46218</v>
      </c>
      <c r="F146" t="inlineStr">
        <is>
          <t>JÖNKÖPINGS LÄN</t>
        </is>
      </c>
      <c r="G146" t="inlineStr">
        <is>
          <t>VÄRNAMO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22101-2025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46218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44230-2023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46218</v>
      </c>
      <c r="F148" t="inlineStr">
        <is>
          <t>JÖNKÖPINGS LÄN</t>
        </is>
      </c>
      <c r="G148" t="inlineStr">
        <is>
          <t>VÄRNAMO</t>
        </is>
      </c>
      <c r="I148" t="n">
        <v>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46218</v>
      </c>
      <c r="F149" t="inlineStr">
        <is>
          <t>JÖNKÖPINGS LÄN</t>
        </is>
      </c>
      <c r="G149" t="inlineStr">
        <is>
          <t>VÄRNAMO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54693-2024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45618</v>
      </c>
      <c r="E150" s="1" t="n">
        <v>46218</v>
      </c>
      <c r="F150" t="inlineStr">
        <is>
          <t>JÖNKÖPINGS LÄN</t>
        </is>
      </c>
      <c r="G150" t="inlineStr">
        <is>
          <t>VÄRNAMO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23836-2022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46218</v>
      </c>
      <c r="F151" t="inlineStr">
        <is>
          <t>JÖNKÖPINGS LÄN</t>
        </is>
      </c>
      <c r="G151" t="inlineStr">
        <is>
          <t>VÄRNAMO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38664-2024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46218</v>
      </c>
      <c r="F152" t="inlineStr">
        <is>
          <t>JÖNKÖPINGS LÄN</t>
        </is>
      </c>
      <c r="G152" t="inlineStr">
        <is>
          <t>VÄRNAMO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46218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57373-2023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46218</v>
      </c>
      <c r="F154" t="inlineStr">
        <is>
          <t>JÖNKÖPINGS LÄN</t>
        </is>
      </c>
      <c r="G154" t="inlineStr">
        <is>
          <t>VÄRNAMO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40114-2025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46218</v>
      </c>
      <c r="F155" t="inlineStr">
        <is>
          <t>JÖNKÖPINGS LÄN</t>
        </is>
      </c>
      <c r="G155" t="inlineStr">
        <is>
          <t>VÄRNAMO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43132-2024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46218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46218</v>
      </c>
      <c r="F157" t="inlineStr">
        <is>
          <t>JÖNKÖPINGS LÄN</t>
        </is>
      </c>
      <c r="G157" t="inlineStr">
        <is>
          <t>VÄRNAMO</t>
        </is>
      </c>
      <c r="H157" t="inlineStr">
        <is>
          <t>Kommuner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13273-2025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45735</v>
      </c>
      <c r="E158" s="1" t="n">
        <v>46218</v>
      </c>
      <c r="F158" t="inlineStr">
        <is>
          <t>JÖNKÖPINGS LÄN</t>
        </is>
      </c>
      <c r="G158" t="inlineStr">
        <is>
          <t>VÄRNAMO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46218</v>
      </c>
      <c r="F159" t="inlineStr">
        <is>
          <t>JÖNKÖPINGS LÄN</t>
        </is>
      </c>
      <c r="G159" t="inlineStr">
        <is>
          <t>VÄRNAMO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26436-2025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45807</v>
      </c>
      <c r="E160" s="1" t="n">
        <v>46218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45585-2023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46218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9836-2023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46218</v>
      </c>
      <c r="F162" t="inlineStr">
        <is>
          <t>JÖNKÖPINGS LÄN</t>
        </is>
      </c>
      <c r="G162" t="inlineStr">
        <is>
          <t>VÄRNAMO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54000-2021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46218</v>
      </c>
      <c r="F163" t="inlineStr">
        <is>
          <t>JÖNKÖPINGS LÄN</t>
        </is>
      </c>
      <c r="G163" t="inlineStr">
        <is>
          <t>VÄRNAMO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56415-2023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46218</v>
      </c>
      <c r="F164" t="inlineStr">
        <is>
          <t>JÖNKÖPINGS LÄN</t>
        </is>
      </c>
      <c r="G164" t="inlineStr">
        <is>
          <t>VÄRNAMO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11990-2025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46218</v>
      </c>
      <c r="F165" t="inlineStr">
        <is>
          <t>JÖNKÖPINGS LÄN</t>
        </is>
      </c>
      <c r="G165" t="inlineStr">
        <is>
          <t>VÄRNAMO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31730-2024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45509</v>
      </c>
      <c r="E166" s="1" t="n">
        <v>46218</v>
      </c>
      <c r="F166" t="inlineStr">
        <is>
          <t>JÖNKÖPINGS LÄN</t>
        </is>
      </c>
      <c r="G166" t="inlineStr">
        <is>
          <t>VÄRNAMO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60105-2024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46218</v>
      </c>
      <c r="F167" t="inlineStr">
        <is>
          <t>JÖNKÖPINGS LÄN</t>
        </is>
      </c>
      <c r="G167" t="inlineStr">
        <is>
          <t>VÄRNAMO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40777-2024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46218</v>
      </c>
      <c r="F168" t="inlineStr">
        <is>
          <t>JÖNKÖPINGS LÄN</t>
        </is>
      </c>
      <c r="G168" t="inlineStr">
        <is>
          <t>VÄRNAMO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74026-2021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44553</v>
      </c>
      <c r="E169" s="1" t="n">
        <v>46218</v>
      </c>
      <c r="F169" t="inlineStr">
        <is>
          <t>JÖNKÖPINGS LÄN</t>
        </is>
      </c>
      <c r="G169" t="inlineStr">
        <is>
          <t>VÄRNAMO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74027-2021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44553</v>
      </c>
      <c r="E170" s="1" t="n">
        <v>46218</v>
      </c>
      <c r="F170" t="inlineStr">
        <is>
          <t>JÖNKÖPINGS LÄN</t>
        </is>
      </c>
      <c r="G170" t="inlineStr">
        <is>
          <t>VÄRNAMO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46218</v>
      </c>
      <c r="F171" t="inlineStr">
        <is>
          <t>JÖNKÖPINGS LÄN</t>
        </is>
      </c>
      <c r="G171" t="inlineStr">
        <is>
          <t>VÄRNAMO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17684-2025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46218</v>
      </c>
      <c r="F172" t="inlineStr">
        <is>
          <t>JÖNKÖPINGS LÄN</t>
        </is>
      </c>
      <c r="G172" t="inlineStr">
        <is>
          <t>VÄRNAMO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41460-2023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45175</v>
      </c>
      <c r="E173" s="1" t="n">
        <v>46218</v>
      </c>
      <c r="F173" t="inlineStr">
        <is>
          <t>JÖNKÖPINGS LÄN</t>
        </is>
      </c>
      <c r="G173" t="inlineStr">
        <is>
          <t>VÄRNAMO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9305-2022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46218</v>
      </c>
      <c r="F174" t="inlineStr">
        <is>
          <t>JÖNKÖPINGS LÄN</t>
        </is>
      </c>
      <c r="G174" t="inlineStr">
        <is>
          <t>VÄRNAMO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14240-2024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45393</v>
      </c>
      <c r="E175" s="1" t="n">
        <v>46218</v>
      </c>
      <c r="F175" t="inlineStr">
        <is>
          <t>JÖNKÖPINGS LÄN</t>
        </is>
      </c>
      <c r="G175" t="inlineStr">
        <is>
          <t>VÄRNAMO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9041-2025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46218</v>
      </c>
      <c r="F176" t="inlineStr">
        <is>
          <t>JÖNKÖPINGS LÄN</t>
        </is>
      </c>
      <c r="G176" t="inlineStr">
        <is>
          <t>VÄRNAMO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42817-2024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46218</v>
      </c>
      <c r="F177" t="inlineStr">
        <is>
          <t>JÖNKÖPINGS LÄN</t>
        </is>
      </c>
      <c r="G177" t="inlineStr">
        <is>
          <t>VÄRNAMO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60178-2024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45642</v>
      </c>
      <c r="E178" s="1" t="n">
        <v>46218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40486-2022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44823</v>
      </c>
      <c r="E179" s="1" t="n">
        <v>46218</v>
      </c>
      <c r="F179" t="inlineStr">
        <is>
          <t>JÖNKÖPINGS LÄN</t>
        </is>
      </c>
      <c r="G179" t="inlineStr">
        <is>
          <t>VÄRNAMO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48664-2023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46218</v>
      </c>
      <c r="F180" t="inlineStr">
        <is>
          <t>JÖNKÖPINGS LÄN</t>
        </is>
      </c>
      <c r="G180" t="inlineStr">
        <is>
          <t>VÄRNAMO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51463-2022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44869</v>
      </c>
      <c r="E181" s="1" t="n">
        <v>46218</v>
      </c>
      <c r="F181" t="inlineStr">
        <is>
          <t>JÖNKÖPINGS LÄN</t>
        </is>
      </c>
      <c r="G181" t="inlineStr">
        <is>
          <t>VÄRNAMO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14536-2024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45394</v>
      </c>
      <c r="E182" s="1" t="n">
        <v>46218</v>
      </c>
      <c r="F182" t="inlineStr">
        <is>
          <t>JÖNKÖPINGS LÄN</t>
        </is>
      </c>
      <c r="G182" t="inlineStr">
        <is>
          <t>VÄRNAMO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55379-2023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46218</v>
      </c>
      <c r="F183" t="inlineStr">
        <is>
          <t>JÖNKÖPINGS LÄN</t>
        </is>
      </c>
      <c r="G183" t="inlineStr">
        <is>
          <t>VÄRNAMO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46218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41316-2023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46218</v>
      </c>
      <c r="F185" t="inlineStr">
        <is>
          <t>JÖNKÖPINGS LÄN</t>
        </is>
      </c>
      <c r="G185" t="inlineStr">
        <is>
          <t>VÄRNAMO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34899-2023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46218</v>
      </c>
      <c r="F186" t="inlineStr">
        <is>
          <t>JÖNKÖPINGS LÄN</t>
        </is>
      </c>
      <c r="G186" t="inlineStr">
        <is>
          <t>VÄRNAMO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9156-2024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45358</v>
      </c>
      <c r="E187" s="1" t="n">
        <v>46218</v>
      </c>
      <c r="F187" t="inlineStr">
        <is>
          <t>JÖNKÖPINGS LÄN</t>
        </is>
      </c>
      <c r="G187" t="inlineStr">
        <is>
          <t>VÄRNAMO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46218</v>
      </c>
      <c r="F188" t="inlineStr">
        <is>
          <t>JÖNKÖPINGS LÄN</t>
        </is>
      </c>
      <c r="G188" t="inlineStr">
        <is>
          <t>VÄRNAMO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6918-2024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45343</v>
      </c>
      <c r="E189" s="1" t="n">
        <v>46218</v>
      </c>
      <c r="F189" t="inlineStr">
        <is>
          <t>JÖNKÖPINGS LÄN</t>
        </is>
      </c>
      <c r="G189" t="inlineStr">
        <is>
          <t>VÄRNAMO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20254-2025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45772</v>
      </c>
      <c r="E190" s="1" t="n">
        <v>46218</v>
      </c>
      <c r="F190" t="inlineStr">
        <is>
          <t>JÖNKÖPINGS LÄN</t>
        </is>
      </c>
      <c r="G190" t="inlineStr">
        <is>
          <t>VÄRNAMO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46218</v>
      </c>
      <c r="F191" t="inlineStr">
        <is>
          <t>JÖNKÖPINGS LÄN</t>
        </is>
      </c>
      <c r="G191" t="inlineStr">
        <is>
          <t>VÄRNAMO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32879-2023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45124</v>
      </c>
      <c r="E192" s="1" t="n">
        <v>46218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46218</v>
      </c>
      <c r="F193" t="inlineStr">
        <is>
          <t>JÖNKÖPINGS LÄN</t>
        </is>
      </c>
      <c r="G193" t="inlineStr">
        <is>
          <t>VÄRNAMO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20316-2023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45056</v>
      </c>
      <c r="E194" s="1" t="n">
        <v>46218</v>
      </c>
      <c r="F194" t="inlineStr">
        <is>
          <t>JÖNKÖPINGS LÄN</t>
        </is>
      </c>
      <c r="G194" t="inlineStr">
        <is>
          <t>VÄRNAMO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15375-2023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46218</v>
      </c>
      <c r="F195" t="inlineStr">
        <is>
          <t>JÖNKÖPINGS LÄN</t>
        </is>
      </c>
      <c r="G195" t="inlineStr">
        <is>
          <t>VÄRNAMO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44051-2023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46218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54519-2021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46218</v>
      </c>
      <c r="F197" t="inlineStr">
        <is>
          <t>JÖNKÖPINGS LÄN</t>
        </is>
      </c>
      <c r="G197" t="inlineStr">
        <is>
          <t>VÄRNAMO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39656-2023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45167</v>
      </c>
      <c r="E198" s="1" t="n">
        <v>46218</v>
      </c>
      <c r="F198" t="inlineStr">
        <is>
          <t>JÖNKÖPINGS LÄN</t>
        </is>
      </c>
      <c r="G198" t="inlineStr">
        <is>
          <t>VÄRNAMO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43963-2025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46218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46218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42830-2024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46218</v>
      </c>
      <c r="F201" t="inlineStr">
        <is>
          <t>JÖNKÖPINGS LÄN</t>
        </is>
      </c>
      <c r="G201" t="inlineStr">
        <is>
          <t>VÄRNAMO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44744-2025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46218</v>
      </c>
      <c r="F202" t="inlineStr">
        <is>
          <t>JÖNKÖPINGS LÄN</t>
        </is>
      </c>
      <c r="G202" t="inlineStr">
        <is>
          <t>VÄRNAMO</t>
        </is>
      </c>
      <c r="H202" t="inlineStr">
        <is>
          <t>Övriga Aktiebolag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36729-2022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46218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44733-2025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46218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6673-2023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46218</v>
      </c>
      <c r="F205" t="inlineStr">
        <is>
          <t>JÖNKÖPINGS LÄN</t>
        </is>
      </c>
      <c r="G205" t="inlineStr">
        <is>
          <t>VÄRNAMO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45275-2025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46218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45274-2025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46218</v>
      </c>
      <c r="F207" t="inlineStr">
        <is>
          <t>JÖNKÖPINGS LÄN</t>
        </is>
      </c>
      <c r="G207" t="inlineStr">
        <is>
          <t>VÄRNAMO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46218</v>
      </c>
      <c r="F208" t="inlineStr">
        <is>
          <t>JÖNKÖPINGS LÄN</t>
        </is>
      </c>
      <c r="G208" t="inlineStr">
        <is>
          <t>VÄRNAMO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63443-2023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45274</v>
      </c>
      <c r="E209" s="1" t="n">
        <v>46218</v>
      </c>
      <c r="F209" t="inlineStr">
        <is>
          <t>JÖNKÖPINGS LÄN</t>
        </is>
      </c>
      <c r="G209" t="inlineStr">
        <is>
          <t>VÄRNAMO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20199-2022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44698</v>
      </c>
      <c r="E210" s="1" t="n">
        <v>46218</v>
      </c>
      <c r="F210" t="inlineStr">
        <is>
          <t>JÖNKÖPINGS LÄN</t>
        </is>
      </c>
      <c r="G210" t="inlineStr">
        <is>
          <t>VÄRNAMO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58293-2023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46218</v>
      </c>
      <c r="F211" t="inlineStr">
        <is>
          <t>JÖNKÖPINGS LÄN</t>
        </is>
      </c>
      <c r="G211" t="inlineStr">
        <is>
          <t>VÄRNAMO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46218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45870-2025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46218</v>
      </c>
      <c r="F213" t="inlineStr">
        <is>
          <t>JÖNKÖPINGS LÄN</t>
        </is>
      </c>
      <c r="G213" t="inlineStr">
        <is>
          <t>VÄRNAMO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53131-2023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46218</v>
      </c>
      <c r="F214" t="inlineStr">
        <is>
          <t>JÖNKÖPINGS LÄN</t>
        </is>
      </c>
      <c r="G214" t="inlineStr">
        <is>
          <t>VÄRNAMO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46218</v>
      </c>
      <c r="F215" t="inlineStr">
        <is>
          <t>JÖNKÖPINGS LÄN</t>
        </is>
      </c>
      <c r="G215" t="inlineStr">
        <is>
          <t>VÄRNAMO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46218</v>
      </c>
      <c r="F216" t="inlineStr">
        <is>
          <t>JÖNKÖPINGS LÄN</t>
        </is>
      </c>
      <c r="G216" t="inlineStr">
        <is>
          <t>VÄRNAMO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46050-2025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46218</v>
      </c>
      <c r="F217" t="inlineStr">
        <is>
          <t>JÖNKÖPINGS LÄN</t>
        </is>
      </c>
      <c r="G217" t="inlineStr">
        <is>
          <t>VÄRNAMO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46051-2025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46218</v>
      </c>
      <c r="F218" t="inlineStr">
        <is>
          <t>JÖNKÖPINGS LÄN</t>
        </is>
      </c>
      <c r="G218" t="inlineStr">
        <is>
          <t>VÄRNAMO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46055-2025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46218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58739-2024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46218</v>
      </c>
      <c r="F220" t="inlineStr">
        <is>
          <t>JÖNKÖPINGS LÄN</t>
        </is>
      </c>
      <c r="G220" t="inlineStr">
        <is>
          <t>VÄRNAMO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62294-2023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45267</v>
      </c>
      <c r="E221" s="1" t="n">
        <v>46218</v>
      </c>
      <c r="F221" t="inlineStr">
        <is>
          <t>JÖNKÖPINGS LÄN</t>
        </is>
      </c>
      <c r="G221" t="inlineStr">
        <is>
          <t>VÄRNAMO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51430-2021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44461</v>
      </c>
      <c r="E222" s="1" t="n">
        <v>46218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36410-2023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46218</v>
      </c>
      <c r="F223" t="inlineStr">
        <is>
          <t>JÖNKÖPINGS LÄN</t>
        </is>
      </c>
      <c r="G223" t="inlineStr">
        <is>
          <t>VÄRNAMO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19229-2025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46218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46218</v>
      </c>
      <c r="F225" t="inlineStr">
        <is>
          <t>JÖNKÖPINGS LÄN</t>
        </is>
      </c>
      <c r="G225" t="inlineStr">
        <is>
          <t>VÄRNAMO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9977-2024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45363</v>
      </c>
      <c r="E226" s="1" t="n">
        <v>46218</v>
      </c>
      <c r="F226" t="inlineStr">
        <is>
          <t>JÖNKÖPINGS LÄN</t>
        </is>
      </c>
      <c r="G226" t="inlineStr">
        <is>
          <t>VÄRNAMO</t>
        </is>
      </c>
      <c r="H226" t="inlineStr">
        <is>
          <t>Kyrkan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44931</v>
      </c>
      <c r="E227" s="1" t="n">
        <v>46218</v>
      </c>
      <c r="F227" t="inlineStr">
        <is>
          <t>JÖNKÖPINGS LÄN</t>
        </is>
      </c>
      <c r="G227" t="inlineStr">
        <is>
          <t>VÄRNAMO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46218</v>
      </c>
      <c r="F228" t="inlineStr">
        <is>
          <t>JÖNKÖPINGS LÄN</t>
        </is>
      </c>
      <c r="G228" t="inlineStr">
        <is>
          <t>VÄRNAMO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46218</v>
      </c>
      <c r="F229" t="inlineStr">
        <is>
          <t>JÖNKÖPINGS LÄN</t>
        </is>
      </c>
      <c r="G229" t="inlineStr">
        <is>
          <t>VÄRNAMO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60037-2022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44909</v>
      </c>
      <c r="E230" s="1" t="n">
        <v>46218</v>
      </c>
      <c r="F230" t="inlineStr">
        <is>
          <t>JÖNKÖPINGS LÄN</t>
        </is>
      </c>
      <c r="G230" t="inlineStr">
        <is>
          <t>VÄRNAMO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46218</v>
      </c>
      <c r="F231" t="inlineStr">
        <is>
          <t>JÖNKÖPINGS LÄN</t>
        </is>
      </c>
      <c r="G231" t="inlineStr">
        <is>
          <t>VÄRNAMO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13272-2025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46218</v>
      </c>
      <c r="F232" t="inlineStr">
        <is>
          <t>JÖNKÖPINGS LÄN</t>
        </is>
      </c>
      <c r="G232" t="inlineStr">
        <is>
          <t>VÄRNAMO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55493-2022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44887</v>
      </c>
      <c r="E233" s="1" t="n">
        <v>46218</v>
      </c>
      <c r="F233" t="inlineStr">
        <is>
          <t>JÖNKÖPINGS LÄN</t>
        </is>
      </c>
      <c r="G233" t="inlineStr">
        <is>
          <t>VÄRNAMO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40841-2024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46218</v>
      </c>
      <c r="F234" t="inlineStr">
        <is>
          <t>JÖNKÖPINGS LÄN</t>
        </is>
      </c>
      <c r="G234" t="inlineStr">
        <is>
          <t>VÄRNAMO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18801-2023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45044</v>
      </c>
      <c r="E235" s="1" t="n">
        <v>46218</v>
      </c>
      <c r="F235" t="inlineStr">
        <is>
          <t>JÖNKÖPINGS LÄN</t>
        </is>
      </c>
      <c r="G235" t="inlineStr">
        <is>
          <t>VÄRNAMO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40847-2024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46218</v>
      </c>
      <c r="F236" t="inlineStr">
        <is>
          <t>JÖNKÖPINGS LÄN</t>
        </is>
      </c>
      <c r="G236" t="inlineStr">
        <is>
          <t>VÄRNAMO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55749-2023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46218</v>
      </c>
      <c r="F237" t="inlineStr">
        <is>
          <t>JÖNKÖPINGS LÄN</t>
        </is>
      </c>
      <c r="G237" t="inlineStr">
        <is>
          <t>VÄRNAMO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46218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29382-2024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45483</v>
      </c>
      <c r="E239" s="1" t="n">
        <v>46218</v>
      </c>
      <c r="F239" t="inlineStr">
        <is>
          <t>JÖNKÖPINGS LÄN</t>
        </is>
      </c>
      <c r="G239" t="inlineStr">
        <is>
          <t>VÄRNAMO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38156-2023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46218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18890-2023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45044</v>
      </c>
      <c r="E241" s="1" t="n">
        <v>46218</v>
      </c>
      <c r="F241" t="inlineStr">
        <is>
          <t>JÖNKÖPINGS LÄN</t>
        </is>
      </c>
      <c r="G241" t="inlineStr">
        <is>
          <t>VÄRNAMO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18053-2025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46218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46940-2022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46218</v>
      </c>
      <c r="F243" t="inlineStr">
        <is>
          <t>JÖNKÖPINGS LÄN</t>
        </is>
      </c>
      <c r="G243" t="inlineStr">
        <is>
          <t>VÄRNAMO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64002-2023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45278</v>
      </c>
      <c r="E244" s="1" t="n">
        <v>46218</v>
      </c>
      <c r="F244" t="inlineStr">
        <is>
          <t>JÖNKÖPINGS LÄN</t>
        </is>
      </c>
      <c r="G244" t="inlineStr">
        <is>
          <t>VÄRNAMO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60988-2023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46218</v>
      </c>
      <c r="F245" t="inlineStr">
        <is>
          <t>JÖNKÖPINGS LÄN</t>
        </is>
      </c>
      <c r="G245" t="inlineStr">
        <is>
          <t>VÄRNAMO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51754-2024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45607</v>
      </c>
      <c r="E246" s="1" t="n">
        <v>46218</v>
      </c>
      <c r="F246" t="inlineStr">
        <is>
          <t>JÖNKÖPINGS LÄN</t>
        </is>
      </c>
      <c r="G246" t="inlineStr">
        <is>
          <t>VÄRNAMO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46218</v>
      </c>
      <c r="F247" t="inlineStr">
        <is>
          <t>JÖNKÖPINGS LÄN</t>
        </is>
      </c>
      <c r="G247" t="inlineStr">
        <is>
          <t>VÄRNAMO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46218</v>
      </c>
      <c r="F248" t="inlineStr">
        <is>
          <t>JÖNKÖPINGS LÄN</t>
        </is>
      </c>
      <c r="G248" t="inlineStr">
        <is>
          <t>VÄRNAMO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11386-2023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44993</v>
      </c>
      <c r="E249" s="1" t="n">
        <v>46218</v>
      </c>
      <c r="F249" t="inlineStr">
        <is>
          <t>JÖNKÖPINGS LÄN</t>
        </is>
      </c>
      <c r="G249" t="inlineStr">
        <is>
          <t>VÄRNAMO</t>
        </is>
      </c>
      <c r="H249" t="inlineStr">
        <is>
          <t>Kommuner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39951-2024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45553</v>
      </c>
      <c r="E250" s="1" t="n">
        <v>46218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46868-2023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45200</v>
      </c>
      <c r="E251" s="1" t="n">
        <v>46218</v>
      </c>
      <c r="F251" t="inlineStr">
        <is>
          <t>JÖNKÖPINGS LÄN</t>
        </is>
      </c>
      <c r="G251" t="inlineStr">
        <is>
          <t>VÄRNAMO</t>
        </is>
      </c>
      <c r="H251" t="inlineStr">
        <is>
          <t>Övriga Aktiebolag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46218</v>
      </c>
      <c r="F252" t="inlineStr">
        <is>
          <t>JÖNKÖPINGS LÄN</t>
        </is>
      </c>
      <c r="G252" t="inlineStr">
        <is>
          <t>VÄRNAMO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43858-2023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46218</v>
      </c>
      <c r="F253" t="inlineStr">
        <is>
          <t>JÖNKÖPINGS LÄN</t>
        </is>
      </c>
      <c r="G253" t="inlineStr">
        <is>
          <t>VÄRNAMO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64048-2023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46218</v>
      </c>
      <c r="F254" t="inlineStr">
        <is>
          <t>JÖNKÖPINGS LÄN</t>
        </is>
      </c>
      <c r="G254" t="inlineStr">
        <is>
          <t>VÄRNAMO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20481-2022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44699</v>
      </c>
      <c r="E255" s="1" t="n">
        <v>46218</v>
      </c>
      <c r="F255" t="inlineStr">
        <is>
          <t>JÖNKÖPINGS LÄN</t>
        </is>
      </c>
      <c r="G255" t="inlineStr">
        <is>
          <t>VÄRNAMO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48697-2022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44859</v>
      </c>
      <c r="E256" s="1" t="n">
        <v>46218</v>
      </c>
      <c r="F256" t="inlineStr">
        <is>
          <t>JÖNKÖPINGS LÄN</t>
        </is>
      </c>
      <c r="G256" t="inlineStr">
        <is>
          <t>VÄRNAMO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46676-2021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44445</v>
      </c>
      <c r="E257" s="1" t="n">
        <v>46218</v>
      </c>
      <c r="F257" t="inlineStr">
        <is>
          <t>JÖNKÖPINGS LÄN</t>
        </is>
      </c>
      <c r="G257" t="inlineStr">
        <is>
          <t>VÄRNAMO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10435-2023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44981</v>
      </c>
      <c r="E258" s="1" t="n">
        <v>46218</v>
      </c>
      <c r="F258" t="inlineStr">
        <is>
          <t>JÖNKÖPINGS LÄN</t>
        </is>
      </c>
      <c r="G258" t="inlineStr">
        <is>
          <t>VÄRNAMO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46468-2023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45197</v>
      </c>
      <c r="E259" s="1" t="n">
        <v>46218</v>
      </c>
      <c r="F259" t="inlineStr">
        <is>
          <t>JÖNKÖPINGS LÄN</t>
        </is>
      </c>
      <c r="G259" t="inlineStr">
        <is>
          <t>VÄRNAMO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46471-2023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45197</v>
      </c>
      <c r="E260" s="1" t="n">
        <v>46218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54477-2022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44882</v>
      </c>
      <c r="E261" s="1" t="n">
        <v>46218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48658-2023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46218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30617-2023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46218</v>
      </c>
      <c r="F263" t="inlineStr">
        <is>
          <t>JÖNKÖPINGS LÄN</t>
        </is>
      </c>
      <c r="G263" t="inlineStr">
        <is>
          <t>VÄRNAMO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45667</v>
      </c>
      <c r="E264" s="1" t="n">
        <v>46218</v>
      </c>
      <c r="F264" t="inlineStr">
        <is>
          <t>JÖNKÖPINGS LÄN</t>
        </is>
      </c>
      <c r="G264" t="inlineStr">
        <is>
          <t>VÄRNAMO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49367-2025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46218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45146</v>
      </c>
      <c r="E266" s="1" t="n">
        <v>46218</v>
      </c>
      <c r="F266" t="inlineStr">
        <is>
          <t>JÖNKÖPINGS LÄN</t>
        </is>
      </c>
      <c r="G266" t="inlineStr">
        <is>
          <t>VÄRNAMO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9038-2025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45713</v>
      </c>
      <c r="E267" s="1" t="n">
        <v>46218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29089-2023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45105</v>
      </c>
      <c r="E268" s="1" t="n">
        <v>46218</v>
      </c>
      <c r="F268" t="inlineStr">
        <is>
          <t>JÖNKÖPINGS LÄN</t>
        </is>
      </c>
      <c r="G268" t="inlineStr">
        <is>
          <t>VÄRNAMO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29090-2023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45105</v>
      </c>
      <c r="E269" s="1" t="n">
        <v>46218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62798-2023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46218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18600-2023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45043</v>
      </c>
      <c r="E271" s="1" t="n">
        <v>46218</v>
      </c>
      <c r="F271" t="inlineStr">
        <is>
          <t>JÖNKÖPINGS LÄN</t>
        </is>
      </c>
      <c r="G271" t="inlineStr">
        <is>
          <t>VÄRNAMO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61608-2023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46218</v>
      </c>
      <c r="F272" t="inlineStr">
        <is>
          <t>JÖNKÖPINGS LÄN</t>
        </is>
      </c>
      <c r="G272" t="inlineStr">
        <is>
          <t>VÄRNAMO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11382-2024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45372</v>
      </c>
      <c r="E273" s="1" t="n">
        <v>46218</v>
      </c>
      <c r="F273" t="inlineStr">
        <is>
          <t>JÖNKÖPINGS LÄN</t>
        </is>
      </c>
      <c r="G273" t="inlineStr">
        <is>
          <t>VÄRNAMO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15248-2024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45400</v>
      </c>
      <c r="E274" s="1" t="n">
        <v>46218</v>
      </c>
      <c r="F274" t="inlineStr">
        <is>
          <t>JÖNKÖPINGS LÄN</t>
        </is>
      </c>
      <c r="G274" t="inlineStr">
        <is>
          <t>VÄRNAMO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51474-2023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45221</v>
      </c>
      <c r="E275" s="1" t="n">
        <v>46218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12304-2023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44998</v>
      </c>
      <c r="E276" s="1" t="n">
        <v>46218</v>
      </c>
      <c r="F276" t="inlineStr">
        <is>
          <t>JÖNKÖPINGS LÄN</t>
        </is>
      </c>
      <c r="G276" t="inlineStr">
        <is>
          <t>VÄRNAMO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12305-2023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44998</v>
      </c>
      <c r="E277" s="1" t="n">
        <v>46218</v>
      </c>
      <c r="F277" t="inlineStr">
        <is>
          <t>JÖNKÖPINGS LÄN</t>
        </is>
      </c>
      <c r="G277" t="inlineStr">
        <is>
          <t>VÄRNAMO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50831-2025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46218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60097-2024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45642</v>
      </c>
      <c r="E279" s="1" t="n">
        <v>46218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44970</v>
      </c>
      <c r="E280" s="1" t="n">
        <v>46218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7430-2023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44971</v>
      </c>
      <c r="E281" s="1" t="n">
        <v>46218</v>
      </c>
      <c r="F281" t="inlineStr">
        <is>
          <t>JÖNKÖPINGS LÄN</t>
        </is>
      </c>
      <c r="G281" t="inlineStr">
        <is>
          <t>VÄRNAMO</t>
        </is>
      </c>
      <c r="H281" t="inlineStr">
        <is>
          <t>Kommuner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17464-2023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45036</v>
      </c>
      <c r="E282" s="1" t="n">
        <v>46218</v>
      </c>
      <c r="F282" t="inlineStr">
        <is>
          <t>JÖNKÖPINGS LÄN</t>
        </is>
      </c>
      <c r="G282" t="inlineStr">
        <is>
          <t>VÄRNAMO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63027-2023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45272</v>
      </c>
      <c r="E283" s="1" t="n">
        <v>46218</v>
      </c>
      <c r="F283" t="inlineStr">
        <is>
          <t>JÖNKÖPINGS LÄN</t>
        </is>
      </c>
      <c r="G283" t="inlineStr">
        <is>
          <t>VÄRNAMO</t>
        </is>
      </c>
      <c r="H283" t="inlineStr">
        <is>
          <t>Kommuner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17323-2022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44678</v>
      </c>
      <c r="E284" s="1" t="n">
        <v>46218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17678-2023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46218</v>
      </c>
      <c r="F285" t="inlineStr">
        <is>
          <t>JÖNKÖPINGS LÄN</t>
        </is>
      </c>
      <c r="G285" t="inlineStr">
        <is>
          <t>VÄRNAMO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10682-2024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46218</v>
      </c>
      <c r="F286" t="inlineStr">
        <is>
          <t>JÖNKÖPINGS LÄN</t>
        </is>
      </c>
      <c r="G286" t="inlineStr">
        <is>
          <t>VÄRNAMO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12306-2023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46218</v>
      </c>
      <c r="F287" t="inlineStr">
        <is>
          <t>JÖNKÖPINGS LÄN</t>
        </is>
      </c>
      <c r="G287" t="inlineStr">
        <is>
          <t>VÄRNAMO</t>
        </is>
      </c>
      <c r="I287" t="n">
        <v>10.4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21104-2025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46218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35604-2024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46218</v>
      </c>
      <c r="F289" t="inlineStr">
        <is>
          <t>JÖNKÖPINGS LÄN</t>
        </is>
      </c>
      <c r="G289" t="inlineStr">
        <is>
          <t>VÄRNAMO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53473-2025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45959</v>
      </c>
      <c r="E290" s="1" t="n">
        <v>46218</v>
      </c>
      <c r="F290" t="inlineStr">
        <is>
          <t>JÖNKÖPINGS LÄN</t>
        </is>
      </c>
      <c r="G290" t="inlineStr">
        <is>
          <t>VÄRNAMO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7727-2022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44608</v>
      </c>
      <c r="E291" s="1" t="n">
        <v>46218</v>
      </c>
      <c r="F291" t="inlineStr">
        <is>
          <t>JÖNKÖPINGS LÄN</t>
        </is>
      </c>
      <c r="G291" t="inlineStr">
        <is>
          <t>VÄRNAMO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48186-2024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46218</v>
      </c>
      <c r="F292" t="inlineStr">
        <is>
          <t>JÖNKÖPINGS LÄN</t>
        </is>
      </c>
      <c r="G292" t="inlineStr">
        <is>
          <t>VÄRNAMO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46218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34222-2024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46218</v>
      </c>
      <c r="F294" t="inlineStr">
        <is>
          <t>JÖNKÖPINGS LÄN</t>
        </is>
      </c>
      <c r="G294" t="inlineStr">
        <is>
          <t>VÄRNAMO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26271-2024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45468</v>
      </c>
      <c r="E295" s="1" t="n">
        <v>46218</v>
      </c>
      <c r="F295" t="inlineStr">
        <is>
          <t>JÖNKÖPINGS LÄN</t>
        </is>
      </c>
      <c r="G295" t="inlineStr">
        <is>
          <t>VÄRNAMO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19090-2024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45428</v>
      </c>
      <c r="E296" s="1" t="n">
        <v>46218</v>
      </c>
      <c r="F296" t="inlineStr">
        <is>
          <t>JÖNKÖPINGS LÄN</t>
        </is>
      </c>
      <c r="G296" t="inlineStr">
        <is>
          <t>VÄRNAMO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38662-2024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45547</v>
      </c>
      <c r="E297" s="1" t="n">
        <v>46218</v>
      </c>
      <c r="F297" t="inlineStr">
        <is>
          <t>JÖNKÖPINGS LÄN</t>
        </is>
      </c>
      <c r="G297" t="inlineStr">
        <is>
          <t>VÄRNAMO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22296-2024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46218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8968-2024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45357</v>
      </c>
      <c r="E299" s="1" t="n">
        <v>46218</v>
      </c>
      <c r="F299" t="inlineStr">
        <is>
          <t>JÖNKÖPINGS LÄN</t>
        </is>
      </c>
      <c r="G299" t="inlineStr">
        <is>
          <t>VÄRNAMO</t>
        </is>
      </c>
      <c r="H299" t="inlineStr">
        <is>
          <t>Sveaskog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12892-2022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44642</v>
      </c>
      <c r="E300" s="1" t="n">
        <v>46218</v>
      </c>
      <c r="F300" t="inlineStr">
        <is>
          <t>JÖNKÖPINGS LÄN</t>
        </is>
      </c>
      <c r="G300" t="inlineStr">
        <is>
          <t>VÄRNAMO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45756</v>
      </c>
      <c r="E301" s="1" t="n">
        <v>46218</v>
      </c>
      <c r="F301" t="inlineStr">
        <is>
          <t>JÖNKÖPINGS LÄN</t>
        </is>
      </c>
      <c r="G301" t="inlineStr">
        <is>
          <t>VÄRNAMO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51472-2023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45221</v>
      </c>
      <c r="E302" s="1" t="n">
        <v>46218</v>
      </c>
      <c r="F302" t="inlineStr">
        <is>
          <t>JÖNKÖPINGS LÄN</t>
        </is>
      </c>
      <c r="G302" t="inlineStr">
        <is>
          <t>VÄRNAMO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58766-2022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44903</v>
      </c>
      <c r="E303" s="1" t="n">
        <v>46218</v>
      </c>
      <c r="F303" t="inlineStr">
        <is>
          <t>JÖNKÖPINGS LÄN</t>
        </is>
      </c>
      <c r="G303" t="inlineStr">
        <is>
          <t>VÄRNAMO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56413-2023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46218</v>
      </c>
      <c r="F304" t="inlineStr">
        <is>
          <t>JÖNKÖPINGS LÄN</t>
        </is>
      </c>
      <c r="G304" t="inlineStr">
        <is>
          <t>VÄRNAMO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22220-2024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45445</v>
      </c>
      <c r="E305" s="1" t="n">
        <v>46218</v>
      </c>
      <c r="F305" t="inlineStr">
        <is>
          <t>JÖNKÖPINGS LÄN</t>
        </is>
      </c>
      <c r="G305" t="inlineStr">
        <is>
          <t>VÄRNAMO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46218</v>
      </c>
      <c r="F306" t="inlineStr">
        <is>
          <t>JÖNKÖPINGS LÄN</t>
        </is>
      </c>
      <c r="G306" t="inlineStr">
        <is>
          <t>VÄRNAMO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45818-2022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44846</v>
      </c>
      <c r="E307" s="1" t="n">
        <v>46218</v>
      </c>
      <c r="F307" t="inlineStr">
        <is>
          <t>JÖNKÖPINGS LÄN</t>
        </is>
      </c>
      <c r="G307" t="inlineStr">
        <is>
          <t>VÄRNAMO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53005-2025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46218</v>
      </c>
      <c r="F308" t="inlineStr">
        <is>
          <t>JÖNKÖPINGS LÄN</t>
        </is>
      </c>
      <c r="G308" t="inlineStr">
        <is>
          <t>VÄRNAMO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53006-2025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46218</v>
      </c>
      <c r="F309" t="inlineStr">
        <is>
          <t>JÖNKÖPINGS LÄN</t>
        </is>
      </c>
      <c r="G309" t="inlineStr">
        <is>
          <t>VÄRNAMO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46218</v>
      </c>
      <c r="F310" t="inlineStr">
        <is>
          <t>JÖNKÖPINGS LÄN</t>
        </is>
      </c>
      <c r="G310" t="inlineStr">
        <is>
          <t>VÄRNAMO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22994-2025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45790</v>
      </c>
      <c r="E311" s="1" t="n">
        <v>46218</v>
      </c>
      <c r="F311" t="inlineStr">
        <is>
          <t>JÖNKÖPINGS LÄN</t>
        </is>
      </c>
      <c r="G311" t="inlineStr">
        <is>
          <t>VÄRNAMO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22268-2024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46218</v>
      </c>
      <c r="F312" t="inlineStr">
        <is>
          <t>JÖNKÖPINGS LÄN</t>
        </is>
      </c>
      <c r="G312" t="inlineStr">
        <is>
          <t>VÄRNAMO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18735-2025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45763</v>
      </c>
      <c r="E313" s="1" t="n">
        <v>46218</v>
      </c>
      <c r="F313" t="inlineStr">
        <is>
          <t>JÖNKÖPINGS LÄN</t>
        </is>
      </c>
      <c r="G313" t="inlineStr">
        <is>
          <t>VÄRNAMO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30712-2024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45496</v>
      </c>
      <c r="E314" s="1" t="n">
        <v>46218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11112-2025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45723</v>
      </c>
      <c r="E315" s="1" t="n">
        <v>46218</v>
      </c>
      <c r="F315" t="inlineStr">
        <is>
          <t>JÖNKÖPINGS LÄN</t>
        </is>
      </c>
      <c r="G315" t="inlineStr">
        <is>
          <t>VÄRNAMO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44425-2023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46218</v>
      </c>
      <c r="F316" t="inlineStr">
        <is>
          <t>JÖNKÖPINGS LÄN</t>
        </is>
      </c>
      <c r="G316" t="inlineStr">
        <is>
          <t>VÄRNAMO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41893-2024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46218</v>
      </c>
      <c r="F317" t="inlineStr">
        <is>
          <t>JÖNKÖPINGS LÄN</t>
        </is>
      </c>
      <c r="G317" t="inlineStr">
        <is>
          <t>VÄRNAMO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61321-2023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46218</v>
      </c>
      <c r="F318" t="inlineStr">
        <is>
          <t>JÖNKÖPINGS LÄN</t>
        </is>
      </c>
      <c r="G318" t="inlineStr">
        <is>
          <t>VÄRNAMO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44956</v>
      </c>
      <c r="E319" s="1" t="n">
        <v>46218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23671-2025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45792</v>
      </c>
      <c r="E320" s="1" t="n">
        <v>46218</v>
      </c>
      <c r="F320" t="inlineStr">
        <is>
          <t>JÖNKÖPINGS LÄN</t>
        </is>
      </c>
      <c r="G320" t="inlineStr">
        <is>
          <t>VÄRNAMO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54502-2025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46218</v>
      </c>
      <c r="F321" t="inlineStr">
        <is>
          <t>JÖNKÖPINGS LÄN</t>
        </is>
      </c>
      <c r="G321" t="inlineStr">
        <is>
          <t>VÄRNAMO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6879-2022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44602</v>
      </c>
      <c r="E322" s="1" t="n">
        <v>46218</v>
      </c>
      <c r="F322" t="inlineStr">
        <is>
          <t>JÖNKÖPINGS LÄN</t>
        </is>
      </c>
      <c r="G322" t="inlineStr">
        <is>
          <t>VÄRNAMO</t>
        </is>
      </c>
      <c r="H322" t="inlineStr">
        <is>
          <t>Kommuner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9992-2023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46218</v>
      </c>
      <c r="F323" t="inlineStr">
        <is>
          <t>JÖNKÖPINGS LÄN</t>
        </is>
      </c>
      <c r="G323" t="inlineStr">
        <is>
          <t>VÄRNAMO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15630-2023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45021</v>
      </c>
      <c r="E324" s="1" t="n">
        <v>46218</v>
      </c>
      <c r="F324" t="inlineStr">
        <is>
          <t>JÖNKÖPINGS LÄN</t>
        </is>
      </c>
      <c r="G324" t="inlineStr">
        <is>
          <t>VÄRNAMO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47738-2023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46218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44642</v>
      </c>
      <c r="E326" s="1" t="n">
        <v>46218</v>
      </c>
      <c r="F326" t="inlineStr">
        <is>
          <t>JÖNKÖPINGS LÄN</t>
        </is>
      </c>
      <c r="G326" t="inlineStr">
        <is>
          <t>VÄRNAMO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12857-2022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44642</v>
      </c>
      <c r="E327" s="1" t="n">
        <v>46218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15536-2024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46218</v>
      </c>
      <c r="F328" t="inlineStr">
        <is>
          <t>JÖNKÖPINGS LÄN</t>
        </is>
      </c>
      <c r="G328" t="inlineStr">
        <is>
          <t>VÄRNAMO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59229-2024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45637</v>
      </c>
      <c r="E329" s="1" t="n">
        <v>46218</v>
      </c>
      <c r="F329" t="inlineStr">
        <is>
          <t>JÖNKÖPINGS LÄN</t>
        </is>
      </c>
      <c r="G329" t="inlineStr">
        <is>
          <t>VÄRNAMO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24100-2025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46218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74102-2021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44557</v>
      </c>
      <c r="E331" s="1" t="n">
        <v>46218</v>
      </c>
      <c r="F331" t="inlineStr">
        <is>
          <t>JÖNKÖPINGS LÄN</t>
        </is>
      </c>
      <c r="G331" t="inlineStr">
        <is>
          <t>VÄRNAMO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63915-2023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45278</v>
      </c>
      <c r="E332" s="1" t="n">
        <v>46218</v>
      </c>
      <c r="F332" t="inlineStr">
        <is>
          <t>JÖNKÖPINGS LÄN</t>
        </is>
      </c>
      <c r="G332" t="inlineStr">
        <is>
          <t>VÄRNAMO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54254-2021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44470</v>
      </c>
      <c r="E333" s="1" t="n">
        <v>46218</v>
      </c>
      <c r="F333" t="inlineStr">
        <is>
          <t>JÖNKÖPINGS LÄN</t>
        </is>
      </c>
      <c r="G333" t="inlineStr">
        <is>
          <t>VÄRNAMO</t>
        </is>
      </c>
      <c r="H333" t="inlineStr">
        <is>
          <t>Övriga Aktiebolag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54501-2025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46218</v>
      </c>
      <c r="F334" t="inlineStr">
        <is>
          <t>JÖNKÖPINGS LÄN</t>
        </is>
      </c>
      <c r="G334" t="inlineStr">
        <is>
          <t>VÄRNAMO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16445-2023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45029</v>
      </c>
      <c r="E335" s="1" t="n">
        <v>46218</v>
      </c>
      <c r="F335" t="inlineStr">
        <is>
          <t>JÖNKÖPINGS LÄN</t>
        </is>
      </c>
      <c r="G335" t="inlineStr">
        <is>
          <t>VÄRNAMO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71233-2021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44539</v>
      </c>
      <c r="E336" s="1" t="n">
        <v>46218</v>
      </c>
      <c r="F336" t="inlineStr">
        <is>
          <t>JÖNKÖPINGS LÄN</t>
        </is>
      </c>
      <c r="G336" t="inlineStr">
        <is>
          <t>VÄRNAMO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52780-2024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45610</v>
      </c>
      <c r="E337" s="1" t="n">
        <v>46218</v>
      </c>
      <c r="F337" t="inlineStr">
        <is>
          <t>JÖNKÖPINGS LÄN</t>
        </is>
      </c>
      <c r="G337" t="inlineStr">
        <is>
          <t>VÄRNAMO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37899-2023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45160</v>
      </c>
      <c r="E338" s="1" t="n">
        <v>46218</v>
      </c>
      <c r="F338" t="inlineStr">
        <is>
          <t>JÖNKÖPINGS LÄN</t>
        </is>
      </c>
      <c r="G338" t="inlineStr">
        <is>
          <t>VÄRNAMO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45687</v>
      </c>
      <c r="E339" s="1" t="n">
        <v>46218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44928</v>
      </c>
      <c r="E340" s="1" t="n">
        <v>46218</v>
      </c>
      <c r="F340" t="inlineStr">
        <is>
          <t>JÖNKÖPINGS LÄN</t>
        </is>
      </c>
      <c r="G340" t="inlineStr">
        <is>
          <t>VÄRNAMO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54703-2025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46218</v>
      </c>
      <c r="F341" t="inlineStr">
        <is>
          <t>JÖNKÖPINGS LÄN</t>
        </is>
      </c>
      <c r="G341" t="inlineStr">
        <is>
          <t>VÄRNAMO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45674</v>
      </c>
      <c r="E342" s="1" t="n">
        <v>46218</v>
      </c>
      <c r="F342" t="inlineStr">
        <is>
          <t>JÖNKÖPINGS LÄN</t>
        </is>
      </c>
      <c r="G342" t="inlineStr">
        <is>
          <t>VÄRNAMO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51893-2024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45607</v>
      </c>
      <c r="E343" s="1" t="n">
        <v>46218</v>
      </c>
      <c r="F343" t="inlineStr">
        <is>
          <t>JÖNKÖPINGS LÄN</t>
        </is>
      </c>
      <c r="G343" t="inlineStr">
        <is>
          <t>VÄRNAMO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2094-2022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44577</v>
      </c>
      <c r="E344" s="1" t="n">
        <v>46218</v>
      </c>
      <c r="F344" t="inlineStr">
        <is>
          <t>JÖNKÖPINGS LÄN</t>
        </is>
      </c>
      <c r="G344" t="inlineStr">
        <is>
          <t>VÄRNAMO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47595-2024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46218</v>
      </c>
      <c r="F345" t="inlineStr">
        <is>
          <t>JÖNKÖPINGS LÄN</t>
        </is>
      </c>
      <c r="G345" t="inlineStr">
        <is>
          <t>VÄRNAMO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47603-2024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46218</v>
      </c>
      <c r="F346" t="inlineStr">
        <is>
          <t>JÖNKÖPINGS LÄN</t>
        </is>
      </c>
      <c r="G346" t="inlineStr">
        <is>
          <t>VÄRNAMO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54892-2025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45967</v>
      </c>
      <c r="E347" s="1" t="n">
        <v>46218</v>
      </c>
      <c r="F347" t="inlineStr">
        <is>
          <t>JÖNKÖPINGS LÄN</t>
        </is>
      </c>
      <c r="G347" t="inlineStr">
        <is>
          <t>VÄRNAMO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25626-2025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45803</v>
      </c>
      <c r="E348" s="1" t="n">
        <v>46218</v>
      </c>
      <c r="F348" t="inlineStr">
        <is>
          <t>JÖNKÖPINGS LÄN</t>
        </is>
      </c>
      <c r="G348" t="inlineStr">
        <is>
          <t>VÄRNAMO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52104-2024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45608</v>
      </c>
      <c r="E349" s="1" t="n">
        <v>46218</v>
      </c>
      <c r="F349" t="inlineStr">
        <is>
          <t>JÖNKÖPINGS LÄN</t>
        </is>
      </c>
      <c r="G349" t="inlineStr">
        <is>
          <t>VÄRNAMO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511-2022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44566</v>
      </c>
      <c r="E350" s="1" t="n">
        <v>46218</v>
      </c>
      <c r="F350" t="inlineStr">
        <is>
          <t>JÖNKÖPINGS LÄN</t>
        </is>
      </c>
      <c r="G350" t="inlineStr">
        <is>
          <t>VÄRNAMO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39639-2023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45167</v>
      </c>
      <c r="E351" s="1" t="n">
        <v>46218</v>
      </c>
      <c r="F351" t="inlineStr">
        <is>
          <t>JÖNKÖPINGS LÄN</t>
        </is>
      </c>
      <c r="G351" t="inlineStr">
        <is>
          <t>VÄRNAMO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24703-2022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44727</v>
      </c>
      <c r="E352" s="1" t="n">
        <v>46218</v>
      </c>
      <c r="F352" t="inlineStr">
        <is>
          <t>JÖNKÖPINGS LÄN</t>
        </is>
      </c>
      <c r="G352" t="inlineStr">
        <is>
          <t>VÄRNAMO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25084-2025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46218</v>
      </c>
      <c r="F353" t="inlineStr">
        <is>
          <t>JÖNKÖPINGS LÄN</t>
        </is>
      </c>
      <c r="G353" t="inlineStr">
        <is>
          <t>VÄRNAMO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55454-2025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46218</v>
      </c>
      <c r="F354" t="inlineStr">
        <is>
          <t>JÖNKÖPINGS LÄN</t>
        </is>
      </c>
      <c r="G354" t="inlineStr">
        <is>
          <t>VÄRNAMO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22071-2023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45069</v>
      </c>
      <c r="E355" s="1" t="n">
        <v>46218</v>
      </c>
      <c r="F355" t="inlineStr">
        <is>
          <t>JÖNKÖPINGS LÄN</t>
        </is>
      </c>
      <c r="G355" t="inlineStr">
        <is>
          <t>VÄRNAMO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40779-2024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45558</v>
      </c>
      <c r="E356" s="1" t="n">
        <v>46218</v>
      </c>
      <c r="F356" t="inlineStr">
        <is>
          <t>JÖNKÖPINGS LÄN</t>
        </is>
      </c>
      <c r="G356" t="inlineStr">
        <is>
          <t>VÄRNAMO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20835-2024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45439</v>
      </c>
      <c r="E357" s="1" t="n">
        <v>46218</v>
      </c>
      <c r="F357" t="inlineStr">
        <is>
          <t>JÖNKÖPINGS LÄN</t>
        </is>
      </c>
      <c r="G357" t="inlineStr">
        <is>
          <t>VÄRNAMO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55606-2024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46218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7298-2023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44970</v>
      </c>
      <c r="E359" s="1" t="n">
        <v>46218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55446-2025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46218</v>
      </c>
      <c r="F360" t="inlineStr">
        <is>
          <t>JÖNKÖPINGS LÄN</t>
        </is>
      </c>
      <c r="G360" t="inlineStr">
        <is>
          <t>VÄRNAMO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55448-2025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46218</v>
      </c>
      <c r="F361" t="inlineStr">
        <is>
          <t>JÖNKÖPINGS LÄN</t>
        </is>
      </c>
      <c r="G361" t="inlineStr">
        <is>
          <t>VÄRNAMO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46863-2023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45200</v>
      </c>
      <c r="E362" s="1" t="n">
        <v>46218</v>
      </c>
      <c r="F362" t="inlineStr">
        <is>
          <t>JÖNKÖPINGS LÄN</t>
        </is>
      </c>
      <c r="G362" t="inlineStr">
        <is>
          <t>VÄRNAMO</t>
        </is>
      </c>
      <c r="H362" t="inlineStr">
        <is>
          <t>Övriga Aktiebolag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45750</v>
      </c>
      <c r="E363" s="1" t="n">
        <v>46218</v>
      </c>
      <c r="F363" t="inlineStr">
        <is>
          <t>JÖNKÖPINGS LÄN</t>
        </is>
      </c>
      <c r="G363" t="inlineStr">
        <is>
          <t>VÄRNAMO</t>
        </is>
      </c>
      <c r="I363" t="n">
        <v>10.4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29459-2023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45106</v>
      </c>
      <c r="E364" s="1" t="n">
        <v>46218</v>
      </c>
      <c r="F364" t="inlineStr">
        <is>
          <t>JÖNKÖPINGS LÄN</t>
        </is>
      </c>
      <c r="G364" t="inlineStr">
        <is>
          <t>VÄRNAMO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48289-2024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45590</v>
      </c>
      <c r="E365" s="1" t="n">
        <v>46218</v>
      </c>
      <c r="F365" t="inlineStr">
        <is>
          <t>JÖNKÖPINGS LÄN</t>
        </is>
      </c>
      <c r="G365" t="inlineStr">
        <is>
          <t>VÄRNAMO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62276-2023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45267</v>
      </c>
      <c r="E366" s="1" t="n">
        <v>46218</v>
      </c>
      <c r="F366" t="inlineStr">
        <is>
          <t>JÖNKÖPINGS LÄN</t>
        </is>
      </c>
      <c r="G366" t="inlineStr">
        <is>
          <t>VÄRNAMO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18434-2022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44686</v>
      </c>
      <c r="E367" s="1" t="n">
        <v>46218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11213-2024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46218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44942</v>
      </c>
      <c r="E369" s="1" t="n">
        <v>46218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17328-2024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46218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63430-2023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45274</v>
      </c>
      <c r="E371" s="1" t="n">
        <v>46218</v>
      </c>
      <c r="F371" t="inlineStr">
        <is>
          <t>JÖNKÖPINGS LÄN</t>
        </is>
      </c>
      <c r="G371" t="inlineStr">
        <is>
          <t>VÄRNAMO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42494-2023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45180</v>
      </c>
      <c r="E372" s="1" t="n">
        <v>46218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55447-2025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46218</v>
      </c>
      <c r="F373" t="inlineStr">
        <is>
          <t>JÖNKÖPINGS LÄN</t>
        </is>
      </c>
      <c r="G373" t="inlineStr">
        <is>
          <t>VÄRNAMO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55527-2025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46218</v>
      </c>
      <c r="F374" t="inlineStr">
        <is>
          <t>JÖNKÖPINGS LÄN</t>
        </is>
      </c>
      <c r="G374" t="inlineStr">
        <is>
          <t>VÄRNAMO</t>
        </is>
      </c>
      <c r="H374" t="inlineStr">
        <is>
          <t>Kommuner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45670</v>
      </c>
      <c r="E375" s="1" t="n">
        <v>46218</v>
      </c>
      <c r="F375" t="inlineStr">
        <is>
          <t>JÖNKÖPINGS LÄN</t>
        </is>
      </c>
      <c r="G375" t="inlineStr">
        <is>
          <t>VÄRNAMO</t>
        </is>
      </c>
      <c r="I375" t="n">
        <v>12.6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52146-2024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46218</v>
      </c>
      <c r="F376" t="inlineStr">
        <is>
          <t>JÖNKÖPINGS LÄN</t>
        </is>
      </c>
      <c r="G376" t="inlineStr">
        <is>
          <t>VÄRNAMO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46218</v>
      </c>
      <c r="F377" t="inlineStr">
        <is>
          <t>JÖNKÖPINGS LÄN</t>
        </is>
      </c>
      <c r="G377" t="inlineStr">
        <is>
          <t>VÄRNAMO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55777-2025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46218</v>
      </c>
      <c r="F378" t="inlineStr">
        <is>
          <t>JÖNKÖPINGS LÄN</t>
        </is>
      </c>
      <c r="G378" t="inlineStr">
        <is>
          <t>VÄRNAMO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35120-2022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46218</v>
      </c>
      <c r="F379" t="inlineStr">
        <is>
          <t>JÖNKÖPINGS LÄN</t>
        </is>
      </c>
      <c r="G379" t="inlineStr">
        <is>
          <t>VÄRNAMO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1246-2024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45302</v>
      </c>
      <c r="E380" s="1" t="n">
        <v>46218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47643-2023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46218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48040-2024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46218</v>
      </c>
      <c r="F382" t="inlineStr">
        <is>
          <t>JÖNKÖPINGS LÄN</t>
        </is>
      </c>
      <c r="G382" t="inlineStr">
        <is>
          <t>VÄRNAMO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44677-2022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44840</v>
      </c>
      <c r="E383" s="1" t="n">
        <v>46218</v>
      </c>
      <c r="F383" t="inlineStr">
        <is>
          <t>JÖNKÖPINGS LÄN</t>
        </is>
      </c>
      <c r="G383" t="inlineStr">
        <is>
          <t>VÄRNAMO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56409-2025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46218</v>
      </c>
      <c r="F384" t="inlineStr">
        <is>
          <t>JÖNKÖPINGS LÄN</t>
        </is>
      </c>
      <c r="G384" t="inlineStr">
        <is>
          <t>VÄRNAMO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45701</v>
      </c>
      <c r="E385" s="1" t="n">
        <v>46218</v>
      </c>
      <c r="F385" t="inlineStr">
        <is>
          <t>JÖNKÖPINGS LÄN</t>
        </is>
      </c>
      <c r="G385" t="inlineStr">
        <is>
          <t>VÄRNAMO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56580-2025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46218</v>
      </c>
      <c r="F386" t="inlineStr">
        <is>
          <t>JÖNKÖPINGS LÄN</t>
        </is>
      </c>
      <c r="G386" t="inlineStr">
        <is>
          <t>VÄRNAMO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61725-2024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45649</v>
      </c>
      <c r="E387" s="1" t="n">
        <v>46218</v>
      </c>
      <c r="F387" t="inlineStr">
        <is>
          <t>JÖNKÖPINGS LÄN</t>
        </is>
      </c>
      <c r="G387" t="inlineStr">
        <is>
          <t>VÄRNAMO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31429-2024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45505</v>
      </c>
      <c r="E388" s="1" t="n">
        <v>46218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62232-2023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46218</v>
      </c>
      <c r="F389" t="inlineStr">
        <is>
          <t>JÖNKÖPINGS LÄN</t>
        </is>
      </c>
      <c r="G389" t="inlineStr">
        <is>
          <t>VÄRNAMO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28523-2025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46218</v>
      </c>
      <c r="F390" t="inlineStr">
        <is>
          <t>JÖNKÖPINGS LÄN</t>
        </is>
      </c>
      <c r="G390" t="inlineStr">
        <is>
          <t>VÄRNAMO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57718-2025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46218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28890-2025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45820</v>
      </c>
      <c r="E392" s="1" t="n">
        <v>46218</v>
      </c>
      <c r="F392" t="inlineStr">
        <is>
          <t>JÖNKÖPINGS LÄN</t>
        </is>
      </c>
      <c r="G392" t="inlineStr">
        <is>
          <t>VÄRNAMO</t>
        </is>
      </c>
      <c r="H392" t="inlineStr">
        <is>
          <t>Kyrkan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42242-2024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46218</v>
      </c>
      <c r="F393" t="inlineStr">
        <is>
          <t>JÖNKÖPINGS LÄN</t>
        </is>
      </c>
      <c r="G393" t="inlineStr">
        <is>
          <t>VÄRNAMO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47822-2023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46218</v>
      </c>
      <c r="F394" t="inlineStr">
        <is>
          <t>JÖNKÖPINGS LÄN</t>
        </is>
      </c>
      <c r="G394" t="inlineStr">
        <is>
          <t>VÄRNAMO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57719-2025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46218</v>
      </c>
      <c r="F395" t="inlineStr">
        <is>
          <t>JÖNKÖPINGS LÄN</t>
        </is>
      </c>
      <c r="G395" t="inlineStr">
        <is>
          <t>VÄRNAMO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52191-2023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46218</v>
      </c>
      <c r="F396" t="inlineStr">
        <is>
          <t>JÖNKÖPINGS LÄN</t>
        </is>
      </c>
      <c r="G396" t="inlineStr">
        <is>
          <t>VÄRNAMO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61345-2023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45264</v>
      </c>
      <c r="E397" s="1" t="n">
        <v>46218</v>
      </c>
      <c r="F397" t="inlineStr">
        <is>
          <t>JÖNKÖPINGS LÄN</t>
        </is>
      </c>
      <c r="G397" t="inlineStr">
        <is>
          <t>VÄRNAMO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29685-2025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45825</v>
      </c>
      <c r="E398" s="1" t="n">
        <v>46218</v>
      </c>
      <c r="F398" t="inlineStr">
        <is>
          <t>JÖNKÖPINGS LÄN</t>
        </is>
      </c>
      <c r="G398" t="inlineStr">
        <is>
          <t>VÄRNAMO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13861-2023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45007</v>
      </c>
      <c r="E399" s="1" t="n">
        <v>46218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29683-2025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45825</v>
      </c>
      <c r="E400" s="1" t="n">
        <v>46218</v>
      </c>
      <c r="F400" t="inlineStr">
        <is>
          <t>JÖNKÖPINGS LÄN</t>
        </is>
      </c>
      <c r="G400" t="inlineStr">
        <is>
          <t>VÄRNAMO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37083-2023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45154</v>
      </c>
      <c r="E401" s="1" t="n">
        <v>46218</v>
      </c>
      <c r="F401" t="inlineStr">
        <is>
          <t>JÖNKÖPINGS LÄN</t>
        </is>
      </c>
      <c r="G401" t="inlineStr">
        <is>
          <t>VÄRNAMO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4792-2024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45328</v>
      </c>
      <c r="E402" s="1" t="n">
        <v>46218</v>
      </c>
      <c r="F402" t="inlineStr">
        <is>
          <t>JÖNKÖPINGS LÄN</t>
        </is>
      </c>
      <c r="G402" t="inlineStr">
        <is>
          <t>VÄRNAMO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30375-2025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46218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21874-2024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45443</v>
      </c>
      <c r="E404" s="1" t="n">
        <v>46218</v>
      </c>
      <c r="F404" t="inlineStr">
        <is>
          <t>JÖNKÖPINGS LÄN</t>
        </is>
      </c>
      <c r="G404" t="inlineStr">
        <is>
          <t>VÄRNAMO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29471-2023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46218</v>
      </c>
      <c r="F405" t="inlineStr">
        <is>
          <t>JÖNKÖPINGS LÄN</t>
        </is>
      </c>
      <c r="G405" t="inlineStr">
        <is>
          <t>VÄRNAMO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30119-2025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45826</v>
      </c>
      <c r="E406" s="1" t="n">
        <v>46218</v>
      </c>
      <c r="F406" t="inlineStr">
        <is>
          <t>JÖNKÖPINGS LÄN</t>
        </is>
      </c>
      <c r="G406" t="inlineStr">
        <is>
          <t>VÄRNAMO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1158-2024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45302</v>
      </c>
      <c r="E407" s="1" t="n">
        <v>46218</v>
      </c>
      <c r="F407" t="inlineStr">
        <is>
          <t>JÖNKÖPINGS LÄN</t>
        </is>
      </c>
      <c r="G407" t="inlineStr">
        <is>
          <t>VÄRNAMO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14353-2022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44652</v>
      </c>
      <c r="E408" s="1" t="n">
        <v>46218</v>
      </c>
      <c r="F408" t="inlineStr">
        <is>
          <t>JÖNKÖPINGS LÄN</t>
        </is>
      </c>
      <c r="G408" t="inlineStr">
        <is>
          <t>VÄRNAMO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22855-2023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45072</v>
      </c>
      <c r="E409" s="1" t="n">
        <v>46218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31238-2025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45832</v>
      </c>
      <c r="E410" s="1" t="n">
        <v>46218</v>
      </c>
      <c r="F410" t="inlineStr">
        <is>
          <t>JÖNKÖPINGS LÄN</t>
        </is>
      </c>
      <c r="G410" t="inlineStr">
        <is>
          <t>VÄRNAMO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62794-2023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45271</v>
      </c>
      <c r="E411" s="1" t="n">
        <v>46218</v>
      </c>
      <c r="F411" t="inlineStr">
        <is>
          <t>JÖNKÖPINGS LÄN</t>
        </is>
      </c>
      <c r="G411" t="inlineStr">
        <is>
          <t>VÄRNAMO</t>
        </is>
      </c>
      <c r="H411" t="inlineStr">
        <is>
          <t>Kommuner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31214-2025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45832</v>
      </c>
      <c r="E412" s="1" t="n">
        <v>46218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31524-2025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45833</v>
      </c>
      <c r="E413" s="1" t="n">
        <v>46218</v>
      </c>
      <c r="F413" t="inlineStr">
        <is>
          <t>JÖNKÖPINGS LÄN</t>
        </is>
      </c>
      <c r="G413" t="inlineStr">
        <is>
          <t>VÄRNAMO</t>
        </is>
      </c>
      <c r="I413" t="n">
        <v>10.1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38484-2023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46218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38501-2023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46218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26119-2025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46218</v>
      </c>
      <c r="F416" t="inlineStr">
        <is>
          <t>JÖNKÖPINGS LÄN</t>
        </is>
      </c>
      <c r="G416" t="inlineStr">
        <is>
          <t>VÄRNAMO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45659</v>
      </c>
      <c r="E417" s="1" t="n">
        <v>46218</v>
      </c>
      <c r="F417" t="inlineStr">
        <is>
          <t>JÖNKÖPINGS LÄN</t>
        </is>
      </c>
      <c r="G417" t="inlineStr">
        <is>
          <t>VÄRNAMO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11206-2025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46218</v>
      </c>
      <c r="F418" t="inlineStr">
        <is>
          <t>JÖNKÖPINGS LÄN</t>
        </is>
      </c>
      <c r="G418" t="inlineStr">
        <is>
          <t>VÄRNAMO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52883-2025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46218</v>
      </c>
      <c r="F419" t="inlineStr">
        <is>
          <t>JÖNKÖPINGS LÄN</t>
        </is>
      </c>
      <c r="G419" t="inlineStr">
        <is>
          <t>VÄRNAMO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17704-2025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46218</v>
      </c>
      <c r="F420" t="inlineStr">
        <is>
          <t>JÖNKÖPINGS LÄN</t>
        </is>
      </c>
      <c r="G420" t="inlineStr">
        <is>
          <t>VÄRNAMO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58785-2025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46218</v>
      </c>
      <c r="F421" t="inlineStr">
        <is>
          <t>JÖNKÖPINGS LÄN</t>
        </is>
      </c>
      <c r="G421" t="inlineStr">
        <is>
          <t>VÄRNAMO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58902-2025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45987</v>
      </c>
      <c r="E422" s="1" t="n">
        <v>46218</v>
      </c>
      <c r="F422" t="inlineStr">
        <is>
          <t>JÖNKÖPINGS LÄN</t>
        </is>
      </c>
      <c r="G422" t="inlineStr">
        <is>
          <t>VÄRNAMO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44721-2025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45917</v>
      </c>
      <c r="E423" s="1" t="n">
        <v>46218</v>
      </c>
      <c r="F423" t="inlineStr">
        <is>
          <t>JÖNKÖPINGS LÄN</t>
        </is>
      </c>
      <c r="G423" t="inlineStr">
        <is>
          <t>VÄRNAMO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19250-2025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45769</v>
      </c>
      <c r="E424" s="1" t="n">
        <v>46218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54704-2025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46218</v>
      </c>
      <c r="F425" t="inlineStr">
        <is>
          <t>JÖNKÖPINGS LÄN</t>
        </is>
      </c>
      <c r="G425" t="inlineStr">
        <is>
          <t>VÄRNAMO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47921-2023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46218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33377-2025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46218</v>
      </c>
      <c r="F427" t="inlineStr">
        <is>
          <t>JÖNKÖPINGS LÄN</t>
        </is>
      </c>
      <c r="G427" t="inlineStr">
        <is>
          <t>VÄRNAMO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33378-2025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46218</v>
      </c>
      <c r="F428" t="inlineStr">
        <is>
          <t>JÖNKÖPINGS LÄN</t>
        </is>
      </c>
      <c r="G428" t="inlineStr">
        <is>
          <t>VÄRNAMO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27888-2024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45475</v>
      </c>
      <c r="E429" s="1" t="n">
        <v>46218</v>
      </c>
      <c r="F429" t="inlineStr">
        <is>
          <t>JÖNKÖPINGS LÄN</t>
        </is>
      </c>
      <c r="G429" t="inlineStr">
        <is>
          <t>VÄRNAMO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39452-2025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45889</v>
      </c>
      <c r="E430" s="1" t="n">
        <v>46218</v>
      </c>
      <c r="F430" t="inlineStr">
        <is>
          <t>JÖNKÖPINGS LÄN</t>
        </is>
      </c>
      <c r="G430" t="inlineStr">
        <is>
          <t>VÄRNAMO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58828-2025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46218</v>
      </c>
      <c r="F431" t="inlineStr">
        <is>
          <t>JÖNKÖPINGS LÄN</t>
        </is>
      </c>
      <c r="G431" t="inlineStr">
        <is>
          <t>VÄRNAMO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33376-2025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46218</v>
      </c>
      <c r="F432" t="inlineStr">
        <is>
          <t>JÖNKÖPINGS LÄN</t>
        </is>
      </c>
      <c r="G432" t="inlineStr">
        <is>
          <t>VÄRNAMO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20249-2026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46218</v>
      </c>
      <c r="F433" t="inlineStr">
        <is>
          <t>JÖNKÖPINGS LÄN</t>
        </is>
      </c>
      <c r="G433" t="inlineStr">
        <is>
          <t>VÄRNAMO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34245-2025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45845</v>
      </c>
      <c r="E434" s="1" t="n">
        <v>46218</v>
      </c>
      <c r="F434" t="inlineStr">
        <is>
          <t>JÖNKÖPINGS LÄN</t>
        </is>
      </c>
      <c r="G434" t="inlineStr">
        <is>
          <t>VÄRNAMO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43162-2024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45567</v>
      </c>
      <c r="E435" s="1" t="n">
        <v>46218</v>
      </c>
      <c r="F435" t="inlineStr">
        <is>
          <t>JÖNKÖPINGS LÄN</t>
        </is>
      </c>
      <c r="G435" t="inlineStr">
        <is>
          <t>VÄRNAMO</t>
        </is>
      </c>
      <c r="H435" t="inlineStr">
        <is>
          <t>Kommuner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27527-2024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46218</v>
      </c>
      <c r="F436" t="inlineStr">
        <is>
          <t>JÖNKÖPINGS LÄN</t>
        </is>
      </c>
      <c r="G436" t="inlineStr">
        <is>
          <t>VÄRNAMO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36724-2025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46218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42475-2025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45905</v>
      </c>
      <c r="E438" s="1" t="n">
        <v>46218</v>
      </c>
      <c r="F438" t="inlineStr">
        <is>
          <t>JÖNKÖPINGS LÄN</t>
        </is>
      </c>
      <c r="G438" t="inlineStr">
        <is>
          <t>VÄRNAMO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33348-2025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46218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58784-2025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46218</v>
      </c>
      <c r="F440" t="inlineStr">
        <is>
          <t>JÖNKÖPINGS LÄN</t>
        </is>
      </c>
      <c r="G440" t="inlineStr">
        <is>
          <t>VÄRNAMO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11723-2023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44994</v>
      </c>
      <c r="E441" s="1" t="n">
        <v>46218</v>
      </c>
      <c r="F441" t="inlineStr">
        <is>
          <t>JÖNKÖPINGS LÄN</t>
        </is>
      </c>
      <c r="G441" t="inlineStr">
        <is>
          <t>VÄRNAMO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47054-2024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46218</v>
      </c>
      <c r="F442" t="inlineStr">
        <is>
          <t>JÖNKÖPINGS LÄN</t>
        </is>
      </c>
      <c r="G442" t="inlineStr">
        <is>
          <t>VÄRNAMO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51351-2024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45604</v>
      </c>
      <c r="E443" s="1" t="n">
        <v>46218</v>
      </c>
      <c r="F443" t="inlineStr">
        <is>
          <t>JÖNKÖPINGS LÄN</t>
        </is>
      </c>
      <c r="G443" t="inlineStr">
        <is>
          <t>VÄRNAMO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33315-2025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45841</v>
      </c>
      <c r="E444" s="1" t="n">
        <v>46218</v>
      </c>
      <c r="F444" t="inlineStr">
        <is>
          <t>JÖNKÖPINGS LÄN</t>
        </is>
      </c>
      <c r="G444" t="inlineStr">
        <is>
          <t>VÄRNAMO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22086-2025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45785</v>
      </c>
      <c r="E445" s="1" t="n">
        <v>46218</v>
      </c>
      <c r="F445" t="inlineStr">
        <is>
          <t>JÖNKÖPINGS LÄN</t>
        </is>
      </c>
      <c r="G445" t="inlineStr">
        <is>
          <t>VÄRNAMO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35006-2025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45851</v>
      </c>
      <c r="E446" s="1" t="n">
        <v>46218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48615-2025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45936</v>
      </c>
      <c r="E447" s="1" t="n">
        <v>46218</v>
      </c>
      <c r="F447" t="inlineStr">
        <is>
          <t>JÖNKÖPINGS LÄN</t>
        </is>
      </c>
      <c r="G447" t="inlineStr">
        <is>
          <t>VÄRNAMO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35007-2025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45851</v>
      </c>
      <c r="E448" s="1" t="n">
        <v>46218</v>
      </c>
      <c r="F448" t="inlineStr">
        <is>
          <t>JÖNKÖPINGS LÄN</t>
        </is>
      </c>
      <c r="G448" t="inlineStr">
        <is>
          <t>VÄRNAMO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35268-2025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45853</v>
      </c>
      <c r="E449" s="1" t="n">
        <v>46218</v>
      </c>
      <c r="F449" t="inlineStr">
        <is>
          <t>JÖNKÖPINGS LÄN</t>
        </is>
      </c>
      <c r="G449" t="inlineStr">
        <is>
          <t>VÄRNAMO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15690-2025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45748</v>
      </c>
      <c r="E450" s="1" t="n">
        <v>46218</v>
      </c>
      <c r="F450" t="inlineStr">
        <is>
          <t>JÖNKÖPINGS LÄN</t>
        </is>
      </c>
      <c r="G450" t="inlineStr">
        <is>
          <t>VÄRNAMO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27415-2025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45812</v>
      </c>
      <c r="E451" s="1" t="n">
        <v>46218</v>
      </c>
      <c r="F451" t="inlineStr">
        <is>
          <t>JÖNKÖPINGS LÄN</t>
        </is>
      </c>
      <c r="G451" t="inlineStr">
        <is>
          <t>VÄRNAMO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59459-2025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45989</v>
      </c>
      <c r="E452" s="1" t="n">
        <v>46218</v>
      </c>
      <c r="F452" t="inlineStr">
        <is>
          <t>JÖNKÖPINGS LÄN</t>
        </is>
      </c>
      <c r="G452" t="inlineStr">
        <is>
          <t>VÄRNAMO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26547-2026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46183</v>
      </c>
      <c r="E453" s="1" t="n">
        <v>46218</v>
      </c>
      <c r="F453" t="inlineStr">
        <is>
          <t>JÖNKÖPINGS LÄN</t>
        </is>
      </c>
      <c r="G453" t="inlineStr">
        <is>
          <t>VÄRNAMO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31746-2024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45509</v>
      </c>
      <c r="E454" s="1" t="n">
        <v>46218</v>
      </c>
      <c r="F454" t="inlineStr">
        <is>
          <t>JÖNKÖPINGS LÄN</t>
        </is>
      </c>
      <c r="G454" t="inlineStr">
        <is>
          <t>VÄRNAMO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1916-2024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45308</v>
      </c>
      <c r="E455" s="1" t="n">
        <v>46218</v>
      </c>
      <c r="F455" t="inlineStr">
        <is>
          <t>JÖNKÖPINGS LÄN</t>
        </is>
      </c>
      <c r="G455" t="inlineStr">
        <is>
          <t>VÄRNAMO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33369-2025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45841</v>
      </c>
      <c r="E456" s="1" t="n">
        <v>46218</v>
      </c>
      <c r="F456" t="inlineStr">
        <is>
          <t>JÖNKÖPINGS LÄN</t>
        </is>
      </c>
      <c r="G456" t="inlineStr">
        <is>
          <t>VÄRNAMO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45802</v>
      </c>
      <c r="E457" s="1" t="n">
        <v>46218</v>
      </c>
      <c r="F457" t="inlineStr">
        <is>
          <t>JÖNKÖPINGS LÄN</t>
        </is>
      </c>
      <c r="G457" t="inlineStr">
        <is>
          <t>VÄRNAMO</t>
        </is>
      </c>
      <c r="H457" t="inlineStr">
        <is>
          <t>Övriga Aktiebolag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36706-2025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46218</v>
      </c>
      <c r="F458" t="inlineStr">
        <is>
          <t>JÖNKÖPINGS LÄN</t>
        </is>
      </c>
      <c r="G458" t="inlineStr">
        <is>
          <t>VÄRNAMO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59881-2025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46218</v>
      </c>
      <c r="F459" t="inlineStr">
        <is>
          <t>JÖNKÖPINGS LÄN</t>
        </is>
      </c>
      <c r="G459" t="inlineStr">
        <is>
          <t>VÄRNAMO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59882-2025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46218</v>
      </c>
      <c r="F460" t="inlineStr">
        <is>
          <t>JÖNKÖPINGS LÄN</t>
        </is>
      </c>
      <c r="G460" t="inlineStr">
        <is>
          <t>VÄRNAMO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29162-2023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45105</v>
      </c>
      <c r="E461" s="1" t="n">
        <v>46218</v>
      </c>
      <c r="F461" t="inlineStr">
        <is>
          <t>JÖNKÖPINGS LÄN</t>
        </is>
      </c>
      <c r="G461" t="inlineStr">
        <is>
          <t>VÄRNAMO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29168-2023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45105</v>
      </c>
      <c r="E462" s="1" t="n">
        <v>46218</v>
      </c>
      <c r="F462" t="inlineStr">
        <is>
          <t>JÖNKÖPINGS LÄN</t>
        </is>
      </c>
      <c r="G462" t="inlineStr">
        <is>
          <t>VÄRNAMO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36662-2025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45873</v>
      </c>
      <c r="E463" s="1" t="n">
        <v>46218</v>
      </c>
      <c r="F463" t="inlineStr">
        <is>
          <t>JÖNKÖPINGS LÄN</t>
        </is>
      </c>
      <c r="G463" t="inlineStr">
        <is>
          <t>VÄRNAMO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45664</v>
      </c>
      <c r="E464" s="1" t="n">
        <v>46218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57858-2024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45631</v>
      </c>
      <c r="E465" s="1" t="n">
        <v>46218</v>
      </c>
      <c r="F465" t="inlineStr">
        <is>
          <t>JÖNKÖPINGS LÄN</t>
        </is>
      </c>
      <c r="G465" t="inlineStr">
        <is>
          <t>VÄRNAMO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14439-2023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45012</v>
      </c>
      <c r="E466" s="1" t="n">
        <v>46218</v>
      </c>
      <c r="F466" t="inlineStr">
        <is>
          <t>JÖNKÖPINGS LÄN</t>
        </is>
      </c>
      <c r="G466" t="inlineStr">
        <is>
          <t>VÄRNAMO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31793-2024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45509</v>
      </c>
      <c r="E467" s="1" t="n">
        <v>46218</v>
      </c>
      <c r="F467" t="inlineStr">
        <is>
          <t>JÖNKÖPINGS LÄN</t>
        </is>
      </c>
      <c r="G467" t="inlineStr">
        <is>
          <t>VÄRNAMO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37293-2025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45876</v>
      </c>
      <c r="E468" s="1" t="n">
        <v>46218</v>
      </c>
      <c r="F468" t="inlineStr">
        <is>
          <t>JÖNKÖPINGS LÄN</t>
        </is>
      </c>
      <c r="G468" t="inlineStr">
        <is>
          <t>VÄRNAMO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30345-2025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45827</v>
      </c>
      <c r="E469" s="1" t="n">
        <v>46218</v>
      </c>
      <c r="F469" t="inlineStr">
        <is>
          <t>JÖNKÖPINGS LÄN</t>
        </is>
      </c>
      <c r="G469" t="inlineStr">
        <is>
          <t>VÄRNAMO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37353-2025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45876</v>
      </c>
      <c r="E470" s="1" t="n">
        <v>46218</v>
      </c>
      <c r="F470" t="inlineStr">
        <is>
          <t>JÖNKÖPINGS LÄN</t>
        </is>
      </c>
      <c r="G470" t="inlineStr">
        <is>
          <t>VÄRNAMO</t>
        </is>
      </c>
      <c r="I470" t="n">
        <v>14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60481-2025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46218</v>
      </c>
      <c r="F471" t="inlineStr">
        <is>
          <t>JÖNKÖPINGS LÄN</t>
        </is>
      </c>
      <c r="G471" t="inlineStr">
        <is>
          <t>VÄRNAMO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23922-2023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45078</v>
      </c>
      <c r="E472" s="1" t="n">
        <v>46218</v>
      </c>
      <c r="F472" t="inlineStr">
        <is>
          <t>JÖNKÖPINGS LÄN</t>
        </is>
      </c>
      <c r="G472" t="inlineStr">
        <is>
          <t>VÄRNAMO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26222-2026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46218</v>
      </c>
      <c r="F473" t="inlineStr">
        <is>
          <t>JÖNKÖPINGS LÄN</t>
        </is>
      </c>
      <c r="G473" t="inlineStr">
        <is>
          <t>VÄRNAMO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8913-2024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45357</v>
      </c>
      <c r="E474" s="1" t="n">
        <v>46218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22073-2023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45069</v>
      </c>
      <c r="E475" s="1" t="n">
        <v>46218</v>
      </c>
      <c r="F475" t="inlineStr">
        <is>
          <t>JÖNKÖPINGS LÄN</t>
        </is>
      </c>
      <c r="G475" t="inlineStr">
        <is>
          <t>VÄRNAMO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18539-2025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45763</v>
      </c>
      <c r="E476" s="1" t="n">
        <v>46218</v>
      </c>
      <c r="F476" t="inlineStr">
        <is>
          <t>JÖNKÖPINGS LÄN</t>
        </is>
      </c>
      <c r="G476" t="inlineStr">
        <is>
          <t>VÄRNAMO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45824-2022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44846</v>
      </c>
      <c r="E477" s="1" t="n">
        <v>46218</v>
      </c>
      <c r="F477" t="inlineStr">
        <is>
          <t>JÖNKÖPINGS LÄN</t>
        </is>
      </c>
      <c r="G477" t="inlineStr">
        <is>
          <t>VÄRNAMO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15122-2026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46218</v>
      </c>
      <c r="F478" t="inlineStr">
        <is>
          <t>JÖNKÖPINGS LÄN</t>
        </is>
      </c>
      <c r="G478" t="inlineStr">
        <is>
          <t>VÄRNAMO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61931-2025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46003</v>
      </c>
      <c r="E479" s="1" t="n">
        <v>46218</v>
      </c>
      <c r="F479" t="inlineStr">
        <is>
          <t>JÖNKÖPINGS LÄN</t>
        </is>
      </c>
      <c r="G479" t="inlineStr">
        <is>
          <t>VÄRNAMO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61562-2025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46001</v>
      </c>
      <c r="E480" s="1" t="n">
        <v>46218</v>
      </c>
      <c r="F480" t="inlineStr">
        <is>
          <t>JÖNKÖPINGS LÄN</t>
        </is>
      </c>
      <c r="G480" t="inlineStr">
        <is>
          <t>VÄRNAMO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61565-2025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46001</v>
      </c>
      <c r="E481" s="1" t="n">
        <v>46218</v>
      </c>
      <c r="F481" t="inlineStr">
        <is>
          <t>JÖNKÖPINGS LÄN</t>
        </is>
      </c>
      <c r="G481" t="inlineStr">
        <is>
          <t>VÄRNAMO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33048-2024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45517</v>
      </c>
      <c r="E482" s="1" t="n">
        <v>46218</v>
      </c>
      <c r="F482" t="inlineStr">
        <is>
          <t>JÖNKÖPINGS LÄN</t>
        </is>
      </c>
      <c r="G482" t="inlineStr">
        <is>
          <t>VÄRNAMO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26691-2026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46218</v>
      </c>
      <c r="F483" t="inlineStr">
        <is>
          <t>JÖNKÖPINGS LÄN</t>
        </is>
      </c>
      <c r="G483" t="inlineStr">
        <is>
          <t>VÄRNAMO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9040-2025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45713</v>
      </c>
      <c r="E484" s="1" t="n">
        <v>46218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26930-2026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46218</v>
      </c>
      <c r="F485" t="inlineStr">
        <is>
          <t>JÖNKÖPINGS LÄN</t>
        </is>
      </c>
      <c r="G485" t="inlineStr">
        <is>
          <t>VÄRNAMO</t>
        </is>
      </c>
      <c r="H485" t="inlineStr">
        <is>
          <t>Kommuner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62463-2025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46007</v>
      </c>
      <c r="E486" s="1" t="n">
        <v>46218</v>
      </c>
      <c r="F486" t="inlineStr">
        <is>
          <t>JÖNKÖPINGS LÄN</t>
        </is>
      </c>
      <c r="G486" t="inlineStr">
        <is>
          <t>VÄRNAMO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62178-2025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46218</v>
      </c>
      <c r="F487" t="inlineStr">
        <is>
          <t>JÖNKÖPINGS LÄN</t>
        </is>
      </c>
      <c r="G487" t="inlineStr">
        <is>
          <t>VÄRNAMO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68171-2021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44526</v>
      </c>
      <c r="E488" s="1" t="n">
        <v>46218</v>
      </c>
      <c r="F488" t="inlineStr">
        <is>
          <t>JÖNKÖPINGS LÄN</t>
        </is>
      </c>
      <c r="G488" t="inlineStr">
        <is>
          <t>VÄRNAMO</t>
        </is>
      </c>
      <c r="H488" t="inlineStr">
        <is>
          <t>Kommuner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11210-2024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45371</v>
      </c>
      <c r="E489" s="1" t="n">
        <v>46218</v>
      </c>
      <c r="F489" t="inlineStr">
        <is>
          <t>JÖNKÖPINGS LÄN</t>
        </is>
      </c>
      <c r="G489" t="inlineStr">
        <is>
          <t>VÄRNAMO</t>
        </is>
      </c>
      <c r="H489" t="inlineStr">
        <is>
          <t>Sveaskog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62274-2025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46218</v>
      </c>
      <c r="F490" t="inlineStr">
        <is>
          <t>JÖNKÖPINGS LÄN</t>
        </is>
      </c>
      <c r="G490" t="inlineStr">
        <is>
          <t>VÄRNAMO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62302-2025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46218</v>
      </c>
      <c r="F491" t="inlineStr">
        <is>
          <t>JÖNKÖPINGS LÄN</t>
        </is>
      </c>
      <c r="G491" t="inlineStr">
        <is>
          <t>VÄRNAMO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62462-2025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46218</v>
      </c>
      <c r="F492" t="inlineStr">
        <is>
          <t>JÖNKÖPINGS LÄN</t>
        </is>
      </c>
      <c r="G492" t="inlineStr">
        <is>
          <t>VÄRNAMO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55373-2023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45238</v>
      </c>
      <c r="E493" s="1" t="n">
        <v>46218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10.6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27508-2026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46218</v>
      </c>
      <c r="F494" t="inlineStr">
        <is>
          <t>JÖNKÖPINGS LÄN</t>
        </is>
      </c>
      <c r="G494" t="inlineStr">
        <is>
          <t>VÄRNAMO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37902-2023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46218</v>
      </c>
      <c r="F495" t="inlineStr">
        <is>
          <t>JÖNKÖPINGS LÄN</t>
        </is>
      </c>
      <c r="G495" t="inlineStr">
        <is>
          <t>VÄRNAMO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27216-2026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46218</v>
      </c>
      <c r="F496" t="inlineStr">
        <is>
          <t>JÖNKÖPINGS LÄN</t>
        </is>
      </c>
      <c r="G496" t="inlineStr">
        <is>
          <t>VÄRNAMO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51294-2023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45219</v>
      </c>
      <c r="E497" s="1" t="n">
        <v>46218</v>
      </c>
      <c r="F497" t="inlineStr">
        <is>
          <t>JÖNKÖPINGS LÄN</t>
        </is>
      </c>
      <c r="G497" t="inlineStr">
        <is>
          <t>VÄRNAMO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27218-2026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46218</v>
      </c>
      <c r="F498" t="inlineStr">
        <is>
          <t>JÖNKÖPINGS LÄN</t>
        </is>
      </c>
      <c r="G498" t="inlineStr">
        <is>
          <t>VÄRNAMO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53533-2023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45223</v>
      </c>
      <c r="E499" s="1" t="n">
        <v>46218</v>
      </c>
      <c r="F499" t="inlineStr">
        <is>
          <t>JÖNKÖPINGS LÄN</t>
        </is>
      </c>
      <c r="G499" t="inlineStr">
        <is>
          <t>VÄRNAMO</t>
        </is>
      </c>
      <c r="H499" t="inlineStr">
        <is>
          <t>Kyrkan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62655-2025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46218</v>
      </c>
      <c r="F500" t="inlineStr">
        <is>
          <t>JÖNKÖPINGS LÄN</t>
        </is>
      </c>
      <c r="G500" t="inlineStr">
        <is>
          <t>VÄRNAMO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27154-2026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46218</v>
      </c>
      <c r="F501" t="inlineStr">
        <is>
          <t>JÖNKÖPINGS LÄN</t>
        </is>
      </c>
      <c r="G501" t="inlineStr">
        <is>
          <t>VÄRNAMO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27156-2026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46218</v>
      </c>
      <c r="F502" t="inlineStr">
        <is>
          <t>JÖNKÖPINGS LÄN</t>
        </is>
      </c>
      <c r="G502" t="inlineStr">
        <is>
          <t>VÄRNAMO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52156-2023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45224</v>
      </c>
      <c r="E503" s="1" t="n">
        <v>46218</v>
      </c>
      <c r="F503" t="inlineStr">
        <is>
          <t>JÖNKÖPINGS LÄN</t>
        </is>
      </c>
      <c r="G503" t="inlineStr">
        <is>
          <t>VÄRNAMO</t>
        </is>
      </c>
      <c r="H503" t="inlineStr">
        <is>
          <t>Övriga Aktiebolag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63235-2025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46010</v>
      </c>
      <c r="E504" s="1" t="n">
        <v>46218</v>
      </c>
      <c r="F504" t="inlineStr">
        <is>
          <t>JÖNKÖPINGS LÄN</t>
        </is>
      </c>
      <c r="G504" t="inlineStr">
        <is>
          <t>VÄRNAMO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27692-2026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46218</v>
      </c>
      <c r="F505" t="inlineStr">
        <is>
          <t>JÖNKÖPINGS LÄN</t>
        </is>
      </c>
      <c r="G505" t="inlineStr">
        <is>
          <t>VÄRNAMO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27713-2026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46218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27802-2026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46191</v>
      </c>
      <c r="E507" s="1" t="n">
        <v>46218</v>
      </c>
      <c r="F507" t="inlineStr">
        <is>
          <t>JÖNKÖPINGS LÄN</t>
        </is>
      </c>
      <c r="G507" t="inlineStr">
        <is>
          <t>VÄRNAMO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2040-2024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46218</v>
      </c>
      <c r="F508" t="inlineStr">
        <is>
          <t>JÖNKÖPINGS LÄN</t>
        </is>
      </c>
      <c r="G508" t="inlineStr">
        <is>
          <t>VÄRNAMO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27941-2026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46218</v>
      </c>
      <c r="F509" t="inlineStr">
        <is>
          <t>JÖNKÖPINGS LÄN</t>
        </is>
      </c>
      <c r="G509" t="inlineStr">
        <is>
          <t>VÄRNAMO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13930-2026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46218</v>
      </c>
      <c r="F510" t="inlineStr">
        <is>
          <t>JÖNKÖPINGS LÄN</t>
        </is>
      </c>
      <c r="G510" t="inlineStr">
        <is>
          <t>VÄRNAMO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27908-2026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46218</v>
      </c>
      <c r="F511" t="inlineStr">
        <is>
          <t>JÖNKÖPINGS LÄN</t>
        </is>
      </c>
      <c r="G511" t="inlineStr">
        <is>
          <t>VÄRNAMO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27863-2026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46191</v>
      </c>
      <c r="E512" s="1" t="n">
        <v>46218</v>
      </c>
      <c r="F512" t="inlineStr">
        <is>
          <t>JÖNKÖPINGS LÄN</t>
        </is>
      </c>
      <c r="G512" t="inlineStr">
        <is>
          <t>VÄRNAMO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27869-2026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46218</v>
      </c>
      <c r="F513" t="inlineStr">
        <is>
          <t>JÖNKÖPINGS LÄN</t>
        </is>
      </c>
      <c r="G513" t="inlineStr">
        <is>
          <t>VÄRNAMO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27685-2026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46218</v>
      </c>
      <c r="F514" t="inlineStr">
        <is>
          <t>JÖNKÖPINGS LÄN</t>
        </is>
      </c>
      <c r="G514" t="inlineStr">
        <is>
          <t>VÄRNAMO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27916-2026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46218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13065-2025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46218</v>
      </c>
      <c r="F516" t="inlineStr">
        <is>
          <t>JÖNKÖPINGS LÄN</t>
        </is>
      </c>
      <c r="G516" t="inlineStr">
        <is>
          <t>VÄRNAMO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28019-2026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46218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498-2026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46029</v>
      </c>
      <c r="E518" s="1" t="n">
        <v>46218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61503-2021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44501</v>
      </c>
      <c r="E519" s="1" t="n">
        <v>46218</v>
      </c>
      <c r="F519" t="inlineStr">
        <is>
          <t>JÖNKÖPINGS LÄN</t>
        </is>
      </c>
      <c r="G519" t="inlineStr">
        <is>
          <t>VÄRNAMO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28013-2026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46218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28016-2026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46218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28015-2026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46218</v>
      </c>
      <c r="F522" t="inlineStr">
        <is>
          <t>JÖNKÖPINGS LÄN</t>
        </is>
      </c>
      <c r="G522" t="inlineStr">
        <is>
          <t>VÄRNAMO</t>
        </is>
      </c>
      <c r="H522" t="inlineStr">
        <is>
          <t>Sveaskog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31346-2023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45114</v>
      </c>
      <c r="E523" s="1" t="n">
        <v>46218</v>
      </c>
      <c r="F523" t="inlineStr">
        <is>
          <t>JÖNKÖPINGS LÄN</t>
        </is>
      </c>
      <c r="G523" t="inlineStr">
        <is>
          <t>VÄRNAMO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27950-2026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46193</v>
      </c>
      <c r="E524" s="1" t="n">
        <v>46218</v>
      </c>
      <c r="F524" t="inlineStr">
        <is>
          <t>JÖNKÖPINGS LÄN</t>
        </is>
      </c>
      <c r="G524" t="inlineStr">
        <is>
          <t>VÄRNAMO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28017-2026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46218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45674</v>
      </c>
      <c r="E526" s="1" t="n">
        <v>46218</v>
      </c>
      <c r="F526" t="inlineStr">
        <is>
          <t>JÖNKÖPINGS LÄN</t>
        </is>
      </c>
      <c r="G526" t="inlineStr">
        <is>
          <t>VÄRNAMO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46218</v>
      </c>
      <c r="F527" t="inlineStr">
        <is>
          <t>JÖNKÖPINGS LÄN</t>
        </is>
      </c>
      <c r="G527" t="inlineStr">
        <is>
          <t>VÄRNAMO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42575-2022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44831</v>
      </c>
      <c r="E528" s="1" t="n">
        <v>46218</v>
      </c>
      <c r="F528" t="inlineStr">
        <is>
          <t>JÖNKÖPINGS LÄN</t>
        </is>
      </c>
      <c r="G528" t="inlineStr">
        <is>
          <t>VÄRNAMO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46218</v>
      </c>
      <c r="F529" t="inlineStr">
        <is>
          <t>JÖNKÖPINGS LÄN</t>
        </is>
      </c>
      <c r="G529" t="inlineStr">
        <is>
          <t>VÄRNAMO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1032-2026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46218</v>
      </c>
      <c r="F530" t="inlineStr">
        <is>
          <t>JÖNKÖPINGS LÄN</t>
        </is>
      </c>
      <c r="G530" t="inlineStr">
        <is>
          <t>VÄRNAMO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28011-2026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46218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28007-2026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46218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28010-2026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46218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42366-2024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45563</v>
      </c>
      <c r="E534" s="1" t="n">
        <v>46218</v>
      </c>
      <c r="F534" t="inlineStr">
        <is>
          <t>JÖNKÖPINGS LÄN</t>
        </is>
      </c>
      <c r="G534" t="inlineStr">
        <is>
          <t>VÄRNAMO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1630-2026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46034</v>
      </c>
      <c r="E535" s="1" t="n">
        <v>46218</v>
      </c>
      <c r="F535" t="inlineStr">
        <is>
          <t>JÖNKÖPINGS LÄN</t>
        </is>
      </c>
      <c r="G535" t="inlineStr">
        <is>
          <t>VÄRNAMO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3866-2022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44587</v>
      </c>
      <c r="E536" s="1" t="n">
        <v>46218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56402-2023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46218</v>
      </c>
      <c r="F537" t="inlineStr">
        <is>
          <t>JÖNKÖPINGS LÄN</t>
        </is>
      </c>
      <c r="G537" t="inlineStr">
        <is>
          <t>VÄRNAMO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56421-2023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45243</v>
      </c>
      <c r="E538" s="1" t="n">
        <v>46218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41206-2023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45174</v>
      </c>
      <c r="E539" s="1" t="n">
        <v>46218</v>
      </c>
      <c r="F539" t="inlineStr">
        <is>
          <t>JÖNKÖPINGS LÄN</t>
        </is>
      </c>
      <c r="G539" t="inlineStr">
        <is>
          <t>VÄRNAMO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1597-2026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46218</v>
      </c>
      <c r="F540" t="inlineStr">
        <is>
          <t>JÖNKÖPINGS LÄN</t>
        </is>
      </c>
      <c r="G540" t="inlineStr">
        <is>
          <t>VÄRNAMO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46218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1643-2026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46218</v>
      </c>
      <c r="F542" t="inlineStr">
        <is>
          <t>JÖNKÖPINGS LÄN</t>
        </is>
      </c>
      <c r="G542" t="inlineStr">
        <is>
          <t>VÄRNAMO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74310-2021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44559</v>
      </c>
      <c r="E543" s="1" t="n">
        <v>46218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46218</v>
      </c>
      <c r="F544" t="inlineStr">
        <is>
          <t>JÖNKÖPINGS LÄN</t>
        </is>
      </c>
      <c r="G544" t="inlineStr">
        <is>
          <t>VÄRNAMO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63924-2023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46218</v>
      </c>
      <c r="F545" t="inlineStr">
        <is>
          <t>JÖNKÖPINGS LÄN</t>
        </is>
      </c>
      <c r="G545" t="inlineStr">
        <is>
          <t>VÄRNAMO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9935-2025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45718</v>
      </c>
      <c r="E546" s="1" t="n">
        <v>46218</v>
      </c>
      <c r="F546" t="inlineStr">
        <is>
          <t>JÖNKÖPINGS LÄN</t>
        </is>
      </c>
      <c r="G546" t="inlineStr">
        <is>
          <t>VÄRNAMO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46038</v>
      </c>
      <c r="E547" s="1" t="n">
        <v>46218</v>
      </c>
      <c r="F547" t="inlineStr">
        <is>
          <t>JÖNKÖPINGS LÄN</t>
        </is>
      </c>
      <c r="G547" t="inlineStr">
        <is>
          <t>VÄRNAMO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2893-2026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46038</v>
      </c>
      <c r="E548" s="1" t="n">
        <v>46218</v>
      </c>
      <c r="F548" t="inlineStr">
        <is>
          <t>JÖNKÖPINGS LÄN</t>
        </is>
      </c>
      <c r="G548" t="inlineStr">
        <is>
          <t>VÄRNAMO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46038</v>
      </c>
      <c r="E549" s="1" t="n">
        <v>46218</v>
      </c>
      <c r="F549" t="inlineStr">
        <is>
          <t>JÖNKÖPINGS LÄN</t>
        </is>
      </c>
      <c r="G549" t="inlineStr">
        <is>
          <t>VÄRNAMO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46218</v>
      </c>
      <c r="F550" t="inlineStr">
        <is>
          <t>JÖNKÖPINGS LÄN</t>
        </is>
      </c>
      <c r="G550" t="inlineStr">
        <is>
          <t>VÄRNAMO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3381-2026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46218</v>
      </c>
      <c r="F551" t="inlineStr">
        <is>
          <t>JÖNKÖPINGS LÄN</t>
        </is>
      </c>
      <c r="G551" t="inlineStr">
        <is>
          <t>VÄRNAMO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3380-2026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46218</v>
      </c>
      <c r="F552" t="inlineStr">
        <is>
          <t>JÖNKÖPINGS LÄN</t>
        </is>
      </c>
      <c r="G552" t="inlineStr">
        <is>
          <t>VÄRNAMO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46218</v>
      </c>
      <c r="F553" t="inlineStr">
        <is>
          <t>JÖNKÖPINGS LÄN</t>
        </is>
      </c>
      <c r="G553" t="inlineStr">
        <is>
          <t>VÄRNAMO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46867-2023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45200</v>
      </c>
      <c r="E554" s="1" t="n">
        <v>46218</v>
      </c>
      <c r="F554" t="inlineStr">
        <is>
          <t>JÖNKÖPINGS LÄN</t>
        </is>
      </c>
      <c r="G554" t="inlineStr">
        <is>
          <t>VÄRNAMO</t>
        </is>
      </c>
      <c r="H554" t="inlineStr">
        <is>
          <t>Övriga Aktiebolag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46218</v>
      </c>
      <c r="F555" t="inlineStr">
        <is>
          <t>JÖNKÖPINGS LÄN</t>
        </is>
      </c>
      <c r="G555" t="inlineStr">
        <is>
          <t>VÄRNAMO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4043-2026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46044</v>
      </c>
      <c r="E556" s="1" t="n">
        <v>46218</v>
      </c>
      <c r="F556" t="inlineStr">
        <is>
          <t>JÖNKÖPINGS LÄN</t>
        </is>
      </c>
      <c r="G556" t="inlineStr">
        <is>
          <t>VÄRNAMO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46218</v>
      </c>
      <c r="F557" t="inlineStr">
        <is>
          <t>JÖNKÖPINGS LÄN</t>
        </is>
      </c>
      <c r="G557" t="inlineStr">
        <is>
          <t>VÄRNAMO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39965-2022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44820</v>
      </c>
      <c r="E558" s="1" t="n">
        <v>46218</v>
      </c>
      <c r="F558" t="inlineStr">
        <is>
          <t>JÖNKÖPINGS LÄN</t>
        </is>
      </c>
      <c r="G558" t="inlineStr">
        <is>
          <t>VÄRNAMO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46218</v>
      </c>
      <c r="F559" t="inlineStr">
        <is>
          <t>JÖNKÖPINGS LÄN</t>
        </is>
      </c>
      <c r="G559" t="inlineStr">
        <is>
          <t>VÄRNAMO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46218</v>
      </c>
      <c r="F560" t="inlineStr">
        <is>
          <t>JÖNKÖPINGS LÄN</t>
        </is>
      </c>
      <c r="G560" t="inlineStr">
        <is>
          <t>VÄRNAMO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40696-2023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45170</v>
      </c>
      <c r="E561" s="1" t="n">
        <v>46218</v>
      </c>
      <c r="F561" t="inlineStr">
        <is>
          <t>JÖNKÖPINGS LÄN</t>
        </is>
      </c>
      <c r="G561" t="inlineStr">
        <is>
          <t>VÄRNAMO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60248-2023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45258</v>
      </c>
      <c r="E562" s="1" t="n">
        <v>46218</v>
      </c>
      <c r="F562" t="inlineStr">
        <is>
          <t>JÖNKÖPINGS LÄN</t>
        </is>
      </c>
      <c r="G562" t="inlineStr">
        <is>
          <t>VÄRNAMO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14031-2024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46218</v>
      </c>
      <c r="F563" t="inlineStr">
        <is>
          <t>JÖNKÖPINGS LÄN</t>
        </is>
      </c>
      <c r="G563" t="inlineStr">
        <is>
          <t>VÄRNAMO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26986-2023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45093</v>
      </c>
      <c r="E564" s="1" t="n">
        <v>46218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27153-2026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46188</v>
      </c>
      <c r="E565" s="1" t="n">
        <v>46218</v>
      </c>
      <c r="F565" t="inlineStr">
        <is>
          <t>JÖNKÖPINGS LÄN</t>
        </is>
      </c>
      <c r="G565" t="inlineStr">
        <is>
          <t>VÄRNAMO</t>
        </is>
      </c>
      <c r="I565" t="n">
        <v>6.2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5117-2026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46218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11428-2024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45372</v>
      </c>
      <c r="E567" s="1" t="n">
        <v>46218</v>
      </c>
      <c r="F567" t="inlineStr">
        <is>
          <t>JÖNKÖPINGS LÄN</t>
        </is>
      </c>
      <c r="G567" t="inlineStr">
        <is>
          <t>VÄRNAMO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61108-2024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46218</v>
      </c>
      <c r="F568" t="inlineStr">
        <is>
          <t>JÖNKÖPINGS LÄN</t>
        </is>
      </c>
      <c r="G568" t="inlineStr">
        <is>
          <t>VÄRNAMO</t>
        </is>
      </c>
      <c r="I568" t="n">
        <v>13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16164-2024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45406</v>
      </c>
      <c r="E569" s="1" t="n">
        <v>46218</v>
      </c>
      <c r="F569" t="inlineStr">
        <is>
          <t>JÖNKÖPINGS LÄN</t>
        </is>
      </c>
      <c r="G569" t="inlineStr">
        <is>
          <t>VÄRNAMO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5350-2026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46050</v>
      </c>
      <c r="E570" s="1" t="n">
        <v>46218</v>
      </c>
      <c r="F570" t="inlineStr">
        <is>
          <t>JÖNKÖPINGS LÄN</t>
        </is>
      </c>
      <c r="G570" t="inlineStr">
        <is>
          <t>VÄRNAMO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22836-2026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46160</v>
      </c>
      <c r="E571" s="1" t="n">
        <v>46218</v>
      </c>
      <c r="F571" t="inlineStr">
        <is>
          <t>JÖNKÖPINGS LÄN</t>
        </is>
      </c>
      <c r="G571" t="inlineStr">
        <is>
          <t>VÄRNAMO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7044-2026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46057</v>
      </c>
      <c r="E572" s="1" t="n">
        <v>46218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7045-2026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46218</v>
      </c>
      <c r="F573" t="inlineStr">
        <is>
          <t>JÖNKÖPINGS LÄN</t>
        </is>
      </c>
      <c r="G573" t="inlineStr">
        <is>
          <t>VÄRNAMO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23314-2026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46218</v>
      </c>
      <c r="F574" t="inlineStr">
        <is>
          <t>JÖNKÖPINGS LÄN</t>
        </is>
      </c>
      <c r="G574" t="inlineStr">
        <is>
          <t>VÄRNAMO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7834-2026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46218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7839-2026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46062</v>
      </c>
      <c r="E576" s="1" t="n">
        <v>46218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8169-2026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46218</v>
      </c>
      <c r="F577" t="inlineStr">
        <is>
          <t>JÖNKÖPINGS LÄN</t>
        </is>
      </c>
      <c r="G577" t="inlineStr">
        <is>
          <t>VÄRNAMO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8252-2026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46064</v>
      </c>
      <c r="E578" s="1" t="n">
        <v>46218</v>
      </c>
      <c r="F578" t="inlineStr">
        <is>
          <t>JÖNKÖPINGS LÄN</t>
        </is>
      </c>
      <c r="G578" t="inlineStr">
        <is>
          <t>VÄRNAMO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29765-2026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46218</v>
      </c>
      <c r="F579" t="inlineStr">
        <is>
          <t>JÖNKÖPINGS LÄN</t>
        </is>
      </c>
      <c r="G579" t="inlineStr">
        <is>
          <t>VÄRNAMO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30169-2026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46218</v>
      </c>
      <c r="F580" t="inlineStr">
        <is>
          <t>JÖNKÖPINGS LÄN</t>
        </is>
      </c>
      <c r="G580" t="inlineStr">
        <is>
          <t>VÄRNAMO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8772-2026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46066</v>
      </c>
      <c r="E581" s="1" t="n">
        <v>46218</v>
      </c>
      <c r="F581" t="inlineStr">
        <is>
          <t>JÖNKÖPINGS LÄN</t>
        </is>
      </c>
      <c r="G581" t="inlineStr">
        <is>
          <t>VÄRNAMO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30172-2026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46218</v>
      </c>
      <c r="F582" t="inlineStr">
        <is>
          <t>JÖNKÖPINGS LÄN</t>
        </is>
      </c>
      <c r="G582" t="inlineStr">
        <is>
          <t>VÄRNAMO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9972-2026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46073</v>
      </c>
      <c r="E583" s="1" t="n">
        <v>46218</v>
      </c>
      <c r="F583" t="inlineStr">
        <is>
          <t>JÖNKÖPINGS LÄN</t>
        </is>
      </c>
      <c r="G583" t="inlineStr">
        <is>
          <t>VÄRNAMO</t>
        </is>
      </c>
      <c r="H583" t="inlineStr">
        <is>
          <t>Sveaskog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23951-2026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46167</v>
      </c>
      <c r="E584" s="1" t="n">
        <v>46218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9975-2026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46218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10030-2026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46073</v>
      </c>
      <c r="E586" s="1" t="n">
        <v>46218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9983-2026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46073</v>
      </c>
      <c r="E587" s="1" t="n">
        <v>46218</v>
      </c>
      <c r="F587" t="inlineStr">
        <is>
          <t>JÖNKÖPINGS LÄN</t>
        </is>
      </c>
      <c r="G587" t="inlineStr">
        <is>
          <t>VÄRNAMO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9970-2026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46073</v>
      </c>
      <c r="E588" s="1" t="n">
        <v>46218</v>
      </c>
      <c r="F588" t="inlineStr">
        <is>
          <t>JÖNKÖPINGS LÄN</t>
        </is>
      </c>
      <c r="G588" t="inlineStr">
        <is>
          <t>VÄRNAMO</t>
        </is>
      </c>
      <c r="H588" t="inlineStr">
        <is>
          <t>Sveaskog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9974-2026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46073</v>
      </c>
      <c r="E589" s="1" t="n">
        <v>46218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10031-2026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46073</v>
      </c>
      <c r="E590" s="1" t="n">
        <v>46218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30173-2026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46218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10758-2026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46078</v>
      </c>
      <c r="E592" s="1" t="n">
        <v>46218</v>
      </c>
      <c r="F592" t="inlineStr">
        <is>
          <t>JÖNKÖPINGS LÄN</t>
        </is>
      </c>
      <c r="G592" t="inlineStr">
        <is>
          <t>VÄRNAMO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24036-2026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46167</v>
      </c>
      <c r="E593" s="1" t="n">
        <v>46218</v>
      </c>
      <c r="F593" t="inlineStr">
        <is>
          <t>JÖNKÖPINGS LÄN</t>
        </is>
      </c>
      <c r="G593" t="inlineStr">
        <is>
          <t>VÄRNAMO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11263-2026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46080</v>
      </c>
      <c r="E594" s="1" t="n">
        <v>46218</v>
      </c>
      <c r="F594" t="inlineStr">
        <is>
          <t>JÖNKÖPINGS LÄN</t>
        </is>
      </c>
      <c r="G594" t="inlineStr">
        <is>
          <t>VÄRNAMO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11267-2026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46080</v>
      </c>
      <c r="E595" s="1" t="n">
        <v>46218</v>
      </c>
      <c r="F595" t="inlineStr">
        <is>
          <t>JÖNKÖPINGS LÄN</t>
        </is>
      </c>
      <c r="G595" t="inlineStr">
        <is>
          <t>VÄRNAMO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24028-2026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46167</v>
      </c>
      <c r="E596" s="1" t="n">
        <v>46218</v>
      </c>
      <c r="F596" t="inlineStr">
        <is>
          <t>JÖNKÖPINGS LÄN</t>
        </is>
      </c>
      <c r="G596" t="inlineStr">
        <is>
          <t>VÄRNAMO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11015-2026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46218</v>
      </c>
      <c r="F597" t="inlineStr">
        <is>
          <t>JÖNKÖPINGS LÄN</t>
        </is>
      </c>
      <c r="G597" t="inlineStr">
        <is>
          <t>VÄRNAMO</t>
        </is>
      </c>
      <c r="H597" t="inlineStr">
        <is>
          <t>Kommuner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11258-2026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46080</v>
      </c>
      <c r="E598" s="1" t="n">
        <v>46218</v>
      </c>
      <c r="F598" t="inlineStr">
        <is>
          <t>JÖNKÖPINGS LÄN</t>
        </is>
      </c>
      <c r="G598" t="inlineStr">
        <is>
          <t>VÄRNAMO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24032-2026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46167</v>
      </c>
      <c r="E599" s="1" t="n">
        <v>46218</v>
      </c>
      <c r="F599" t="inlineStr">
        <is>
          <t>JÖNKÖPINGS LÄN</t>
        </is>
      </c>
      <c r="G599" t="inlineStr">
        <is>
          <t>VÄRNAMO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12095-2026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46086</v>
      </c>
      <c r="E600" s="1" t="n">
        <v>46218</v>
      </c>
      <c r="F600" t="inlineStr">
        <is>
          <t>JÖNKÖPINGS LÄN</t>
        </is>
      </c>
      <c r="G600" t="inlineStr">
        <is>
          <t>VÄRNAMO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13285-2026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46218</v>
      </c>
      <c r="F601" t="inlineStr">
        <is>
          <t>JÖNKÖPINGS LÄN</t>
        </is>
      </c>
      <c r="G601" t="inlineStr">
        <is>
          <t>VÄRNAMO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13008-2026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46218</v>
      </c>
      <c r="F602" t="inlineStr">
        <is>
          <t>JÖNKÖPINGS LÄN</t>
        </is>
      </c>
      <c r="G602" t="inlineStr">
        <is>
          <t>VÄRNAMO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55764-2025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45972</v>
      </c>
      <c r="E603" s="1" t="n">
        <v>46218</v>
      </c>
      <c r="F603" t="inlineStr">
        <is>
          <t>JÖNKÖPINGS LÄN</t>
        </is>
      </c>
      <c r="G603" t="inlineStr">
        <is>
          <t>VÄRNAMO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13284-2026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46093</v>
      </c>
      <c r="E604" s="1" t="n">
        <v>46218</v>
      </c>
      <c r="F604" t="inlineStr">
        <is>
          <t>JÖNKÖPINGS LÄN</t>
        </is>
      </c>
      <c r="G604" t="inlineStr">
        <is>
          <t>VÄRNAMO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14162-2026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46218</v>
      </c>
      <c r="F605" t="inlineStr">
        <is>
          <t>JÖNKÖPINGS LÄN</t>
        </is>
      </c>
      <c r="G605" t="inlineStr">
        <is>
          <t>VÄRNAMO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24809-2026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46172</v>
      </c>
      <c r="E606" s="1" t="n">
        <v>46218</v>
      </c>
      <c r="F606" t="inlineStr">
        <is>
          <t>JÖNKÖPINGS LÄN</t>
        </is>
      </c>
      <c r="G606" t="inlineStr">
        <is>
          <t>VÄRNAMO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15105-2026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46101</v>
      </c>
      <c r="E607" s="1" t="n">
        <v>46218</v>
      </c>
      <c r="F607" t="inlineStr">
        <is>
          <t>JÖNKÖPINGS LÄN</t>
        </is>
      </c>
      <c r="G607" t="inlineStr">
        <is>
          <t>VÄRNAMO</t>
        </is>
      </c>
      <c r="I607" t="n">
        <v>58.2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14246-2026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46218</v>
      </c>
      <c r="F608" t="inlineStr">
        <is>
          <t>JÖNKÖPINGS LÄN</t>
        </is>
      </c>
      <c r="G608" t="inlineStr">
        <is>
          <t>VÄRNAMO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31107-2026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46218</v>
      </c>
      <c r="F609" t="inlineStr">
        <is>
          <t>JÖNKÖPINGS LÄN</t>
        </is>
      </c>
      <c r="G609" t="inlineStr">
        <is>
          <t>VÄRNAMO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50550-2025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45945</v>
      </c>
      <c r="E610" s="1" t="n">
        <v>46218</v>
      </c>
      <c r="F610" t="inlineStr">
        <is>
          <t>JÖNKÖPINGS LÄN</t>
        </is>
      </c>
      <c r="G610" t="inlineStr">
        <is>
          <t>VÄRNAMO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14698-2026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46101</v>
      </c>
      <c r="E611" s="1" t="n">
        <v>46218</v>
      </c>
      <c r="F611" t="inlineStr">
        <is>
          <t>JÖNKÖPINGS LÄN</t>
        </is>
      </c>
      <c r="G611" t="inlineStr">
        <is>
          <t>VÄRNAMO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15127-2026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46218</v>
      </c>
      <c r="F612" t="inlineStr">
        <is>
          <t>JÖNKÖPINGS LÄN</t>
        </is>
      </c>
      <c r="G612" t="inlineStr">
        <is>
          <t>VÄRNAMO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15130-2026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46105</v>
      </c>
      <c r="E613" s="1" t="n">
        <v>46218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15101-2026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46101</v>
      </c>
      <c r="E614" s="1" t="n">
        <v>46218</v>
      </c>
      <c r="F614" t="inlineStr">
        <is>
          <t>JÖNKÖPINGS LÄN</t>
        </is>
      </c>
      <c r="G614" t="inlineStr">
        <is>
          <t>VÄRNAMO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18441-2026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46127</v>
      </c>
      <c r="E615" s="1" t="n">
        <v>46218</v>
      </c>
      <c r="F615" t="inlineStr">
        <is>
          <t>JÖNKÖPINGS LÄN</t>
        </is>
      </c>
      <c r="G615" t="inlineStr">
        <is>
          <t>VÄRNAMO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18509-2026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46127</v>
      </c>
      <c r="E616" s="1" t="n">
        <v>46218</v>
      </c>
      <c r="F616" t="inlineStr">
        <is>
          <t>JÖNKÖPINGS LÄN</t>
        </is>
      </c>
      <c r="G616" t="inlineStr">
        <is>
          <t>VÄRNAMO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18493-2026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46127</v>
      </c>
      <c r="E617" s="1" t="n">
        <v>46218</v>
      </c>
      <c r="F617" t="inlineStr">
        <is>
          <t>JÖNKÖPINGS LÄN</t>
        </is>
      </c>
      <c r="G617" t="inlineStr">
        <is>
          <t>VÄRNAMO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25543-2026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46218</v>
      </c>
      <c r="F618" t="inlineStr">
        <is>
          <t>JÖNKÖPINGS LÄN</t>
        </is>
      </c>
      <c r="G618" t="inlineStr">
        <is>
          <t>VÄRNAMO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43782-2025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45912</v>
      </c>
      <c r="E619" s="1" t="n">
        <v>46218</v>
      </c>
      <c r="F619" t="inlineStr">
        <is>
          <t>JÖNKÖPINGS LÄN</t>
        </is>
      </c>
      <c r="G619" t="inlineStr">
        <is>
          <t>VÄRNAMO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33407-2024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45519</v>
      </c>
      <c r="E620" s="1" t="n">
        <v>46218</v>
      </c>
      <c r="F620" t="inlineStr">
        <is>
          <t>JÖNKÖPINGS LÄN</t>
        </is>
      </c>
      <c r="G620" t="inlineStr">
        <is>
          <t>VÄRNAMO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46218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46218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46218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46218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46218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46218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46218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46218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46218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46218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46218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46218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46218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46218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46218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46218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46218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46218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46218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46218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46218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2026-07-15T01:26:54Z</dcterms:created>
  <dcterms:modified xmlns:dcterms="http://purl.org/dc/terms/" xmlns:xsi="http://www.w3.org/2001/XMLSchema-instance" xsi:type="dcterms:W3CDTF">2026-07-15T01:26:54Z</dcterms:modified>
</cp:coreProperties>
</file>