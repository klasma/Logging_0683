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46298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46298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46298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46298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46298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46298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46298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46298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46298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46298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46298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46298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46298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46298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46298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46298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46298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46298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46298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46298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46298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46298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46298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46298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46298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38915-2026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46286</v>
      </c>
      <c r="E33" s="1" t="n">
        <v>46298</v>
      </c>
      <c r="F33" t="inlineStr">
        <is>
          <t>JÖNKÖPINGS LÄN</t>
        </is>
      </c>
      <c r="G33" t="inlineStr">
        <is>
          <t>VÄRNAMO</t>
        </is>
      </c>
      <c r="I33" t="n">
        <v>3.2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Blågrönt mannagräs</t>
        </is>
      </c>
      <c r="W33">
        <f>HYPERLINK("https://klasma.github.io/Logging_0683/artfynd/A 38915-2026 artfynd.xlsx", "A 38915-2026")</f>
        <v/>
      </c>
      <c r="X33">
        <f>HYPERLINK("https://klasma.github.io/Logging_0683/kartor/A 38915-2026 karta.png", "A 38915-2026")</f>
        <v/>
      </c>
      <c r="Y33">
        <f>HYPERLINK("https://klasma.github.io/Logging_0683/kartor_geotiff/A 38915-2026 georefererad karta.tif", "A 38915-2026")</f>
        <v/>
      </c>
      <c r="AA33">
        <f>HYPERLINK("https://klasma.github.io/Logging_0683/klagomål/A 38915-2026 FSC-klagomål.docx", "A 38915-2026")</f>
        <v/>
      </c>
      <c r="AB33">
        <f>HYPERLINK("https://klasma.github.io/Logging_0683/klagomålsmail/A 38915-2026 FSC-klagomål mail.docx", "A 38915-2026")</f>
        <v/>
      </c>
      <c r="AC33">
        <f>HYPERLINK("https://klasma.github.io/Logging_0683/tillsyn/A 38915-2026 tillsynsbegäran.docx", "A 38915-2026")</f>
        <v/>
      </c>
      <c r="AD33">
        <f>HYPERLINK("https://klasma.github.io/Logging_0683/tillsynsmail/A 38915-2026 tillsynsbegäran mail.docx", "A 38915-2026")</f>
        <v/>
      </c>
    </row>
    <row r="34" ht="15" customHeight="1">
      <c r="A34" t="inlineStr">
        <is>
          <t>A 39126-2026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46287</v>
      </c>
      <c r="E34" s="1" t="n">
        <v>46298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Strutbräken</t>
        </is>
      </c>
      <c r="W34">
        <f>HYPERLINK("https://klasma.github.io/Logging_0683/artfynd/A 39126-2026 artfynd.xlsx", "A 39126-2026")</f>
        <v/>
      </c>
      <c r="X34">
        <f>HYPERLINK("https://klasma.github.io/Logging_0683/kartor/A 39126-2026 karta.png", "A 39126-2026")</f>
        <v/>
      </c>
      <c r="Y34">
        <f>HYPERLINK("https://klasma.github.io/Logging_0683/kartor_geotiff/A 39126-2026 georefererad karta.tif", "A 39126-2026")</f>
        <v/>
      </c>
      <c r="AA34">
        <f>HYPERLINK("https://klasma.github.io/Logging_0683/klagomål/A 39126-2026 FSC-klagomål.docx", "A 39126-2026")</f>
        <v/>
      </c>
      <c r="AB34">
        <f>HYPERLINK("https://klasma.github.io/Logging_0683/klagomålsmail/A 39126-2026 FSC-klagomål mail.docx", "A 39126-2026")</f>
        <v/>
      </c>
      <c r="AC34">
        <f>HYPERLINK("https://klasma.github.io/Logging_0683/tillsyn/A 39126-2026 tillsynsbegäran.docx", "A 39126-2026")</f>
        <v/>
      </c>
      <c r="AD34">
        <f>HYPERLINK("https://klasma.github.io/Logging_0683/tillsynsmail/A 39126-2026 tillsynsbegäran mail.docx", "A 39126-2026")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46298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46298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46298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46298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46298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46298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46298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46298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46298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46298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46298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46298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46298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46298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46298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46298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46298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46298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46298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46298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46298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46298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46298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46298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46298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46298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46298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46298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46298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46298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46298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46298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46298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46298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46298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46298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71848-2021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44539</v>
      </c>
      <c r="E72" s="1" t="n">
        <v>46298</v>
      </c>
      <c r="F72" t="inlineStr">
        <is>
          <t>JÖNKÖPINGS LÄN</t>
        </is>
      </c>
      <c r="G72" t="inlineStr">
        <is>
          <t>VÄRNAMO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46298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46298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46298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46298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46298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46298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46298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46298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46298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46298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44502</v>
      </c>
      <c r="E83" s="1" t="n">
        <v>46298</v>
      </c>
      <c r="F83" t="inlineStr">
        <is>
          <t>JÖNKÖPINGS LÄN</t>
        </is>
      </c>
      <c r="G83" t="inlineStr">
        <is>
          <t>VÄRNAMO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46298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46298</v>
      </c>
      <c r="F85" t="inlineStr">
        <is>
          <t>JÖNKÖPINGS LÄN</t>
        </is>
      </c>
      <c r="G85" t="inlineStr">
        <is>
          <t>VÄRNAMO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44616</v>
      </c>
      <c r="E86" s="1" t="n">
        <v>46298</v>
      </c>
      <c r="F86" t="inlineStr">
        <is>
          <t>JÖNKÖPINGS LÄN</t>
        </is>
      </c>
      <c r="G86" t="inlineStr">
        <is>
          <t>VÄRNAMO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46298</v>
      </c>
      <c r="F87" t="inlineStr">
        <is>
          <t>JÖNKÖPINGS LÄN</t>
        </is>
      </c>
      <c r="G87" t="inlineStr">
        <is>
          <t>VÄRNAMO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46298</v>
      </c>
      <c r="F88" t="inlineStr">
        <is>
          <t>JÖNKÖPINGS LÄN</t>
        </is>
      </c>
      <c r="G88" t="inlineStr">
        <is>
          <t>VÄRNAMO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46298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46298</v>
      </c>
      <c r="F90" t="inlineStr">
        <is>
          <t>JÖNKÖPINGS LÄN</t>
        </is>
      </c>
      <c r="G90" t="inlineStr">
        <is>
          <t>VÄRNAMO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24702-2022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44727</v>
      </c>
      <c r="E91" s="1" t="n">
        <v>46298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44929</v>
      </c>
      <c r="E92" s="1" t="n">
        <v>46298</v>
      </c>
      <c r="F92" t="inlineStr">
        <is>
          <t>JÖNKÖPINGS LÄN</t>
        </is>
      </c>
      <c r="G92" t="inlineStr">
        <is>
          <t>VÄRNAMO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46298</v>
      </c>
      <c r="F93" t="inlineStr">
        <is>
          <t>JÖNKÖPINGS LÄN</t>
        </is>
      </c>
      <c r="G93" t="inlineStr">
        <is>
          <t>VÄRNAMO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46298</v>
      </c>
      <c r="F94" t="inlineStr">
        <is>
          <t>JÖNKÖPINGS LÄN</t>
        </is>
      </c>
      <c r="G94" t="inlineStr">
        <is>
          <t>VÄRNAMO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46298</v>
      </c>
      <c r="F95" t="inlineStr">
        <is>
          <t>JÖNKÖPINGS LÄN</t>
        </is>
      </c>
      <c r="G95" t="inlineStr">
        <is>
          <t>VÄRNAMO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46298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46298</v>
      </c>
      <c r="F97" t="inlineStr">
        <is>
          <t>JÖNKÖPINGS LÄN</t>
        </is>
      </c>
      <c r="G97" t="inlineStr">
        <is>
          <t>VÄRNAMO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46298</v>
      </c>
      <c r="F98" t="inlineStr">
        <is>
          <t>JÖNKÖPINGS LÄN</t>
        </is>
      </c>
      <c r="G98" t="inlineStr">
        <is>
          <t>VÄRNAMO</t>
        </is>
      </c>
      <c r="H98" t="inlineStr">
        <is>
          <t>Kommuner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46298</v>
      </c>
      <c r="F99" t="inlineStr">
        <is>
          <t>JÖNKÖPINGS LÄN</t>
        </is>
      </c>
      <c r="G99" t="inlineStr">
        <is>
          <t>VÄRNAMO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46298</v>
      </c>
      <c r="F100" t="inlineStr">
        <is>
          <t>JÖNKÖPINGS LÄN</t>
        </is>
      </c>
      <c r="G100" t="inlineStr">
        <is>
          <t>VÄRNAMO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46298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46298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46298</v>
      </c>
      <c r="F103" t="inlineStr">
        <is>
          <t>JÖNKÖPINGS LÄN</t>
        </is>
      </c>
      <c r="G103" t="inlineStr">
        <is>
          <t>VÄRNAMO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46298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46298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44869</v>
      </c>
      <c r="E106" s="1" t="n">
        <v>46298</v>
      </c>
      <c r="F106" t="inlineStr">
        <is>
          <t>JÖNKÖPINGS LÄN</t>
        </is>
      </c>
      <c r="G106" t="inlineStr">
        <is>
          <t>VÄRNAMO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46298</v>
      </c>
      <c r="F107" t="inlineStr">
        <is>
          <t>JÖNKÖPINGS LÄN</t>
        </is>
      </c>
      <c r="G107" t="inlineStr">
        <is>
          <t>VÄRNAMO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46298</v>
      </c>
      <c r="F108" t="inlineStr">
        <is>
          <t>JÖNKÖPINGS LÄN</t>
        </is>
      </c>
      <c r="G108" t="inlineStr">
        <is>
          <t>VÄRNAMO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46298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46298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46298</v>
      </c>
      <c r="F111" t="inlineStr">
        <is>
          <t>JÖNKÖPINGS LÄN</t>
        </is>
      </c>
      <c r="G111" t="inlineStr">
        <is>
          <t>VÄRNAMO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46298</v>
      </c>
      <c r="F112" t="inlineStr">
        <is>
          <t>JÖNKÖPINGS LÄN</t>
        </is>
      </c>
      <c r="G112" t="inlineStr">
        <is>
          <t>VÄRNAMO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46298</v>
      </c>
      <c r="F113" t="inlineStr">
        <is>
          <t>JÖNKÖPINGS LÄN</t>
        </is>
      </c>
      <c r="G113" t="inlineStr">
        <is>
          <t>VÄRNAMO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44595</v>
      </c>
      <c r="E114" s="1" t="n">
        <v>46298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45445</v>
      </c>
      <c r="E115" s="1" t="n">
        <v>46298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46298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46298</v>
      </c>
      <c r="F117" t="inlineStr">
        <is>
          <t>JÖNKÖPINGS LÄN</t>
        </is>
      </c>
      <c r="G117" t="inlineStr">
        <is>
          <t>VÄRNAMO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46298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46298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46298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46298</v>
      </c>
      <c r="F121" t="inlineStr">
        <is>
          <t>JÖNKÖPINGS LÄN</t>
        </is>
      </c>
      <c r="G121" t="inlineStr">
        <is>
          <t>VÄRNAMO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46298</v>
      </c>
      <c r="F122" t="inlineStr">
        <is>
          <t>JÖNKÖPINGS LÄN</t>
        </is>
      </c>
      <c r="G122" t="inlineStr">
        <is>
          <t>VÄRNAMO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46298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46298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46298</v>
      </c>
      <c r="F125" t="inlineStr">
        <is>
          <t>JÖNKÖPINGS LÄN</t>
        </is>
      </c>
      <c r="G125" t="inlineStr">
        <is>
          <t>VÄRNAMO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46298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46298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46298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46298</v>
      </c>
      <c r="F129" t="inlineStr">
        <is>
          <t>JÖNKÖPINGS LÄN</t>
        </is>
      </c>
      <c r="G129" t="inlineStr">
        <is>
          <t>VÄRNAMO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46298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45723</v>
      </c>
      <c r="E131" s="1" t="n">
        <v>46298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46298</v>
      </c>
      <c r="F132" t="inlineStr">
        <is>
          <t>JÖNKÖPINGS LÄN</t>
        </is>
      </c>
      <c r="G132" t="inlineStr">
        <is>
          <t>VÄRNAMO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46298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46298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45308</v>
      </c>
      <c r="E135" s="1" t="n">
        <v>46298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46298</v>
      </c>
      <c r="F136" t="inlineStr">
        <is>
          <t>JÖNKÖPINGS LÄN</t>
        </is>
      </c>
      <c r="G136" t="inlineStr">
        <is>
          <t>VÄRNAMO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46298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46298</v>
      </c>
      <c r="F138" t="inlineStr">
        <is>
          <t>JÖNKÖPINGS LÄN</t>
        </is>
      </c>
      <c r="G138" t="inlineStr">
        <is>
          <t>VÄRNAMO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46298</v>
      </c>
      <c r="F139" t="inlineStr">
        <is>
          <t>JÖNKÖPINGS LÄN</t>
        </is>
      </c>
      <c r="G139" t="inlineStr">
        <is>
          <t>VÄRNAMO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45853</v>
      </c>
      <c r="E140" s="1" t="n">
        <v>46298</v>
      </c>
      <c r="F140" t="inlineStr">
        <is>
          <t>JÖNKÖPINGS LÄN</t>
        </is>
      </c>
      <c r="G140" t="inlineStr">
        <is>
          <t>VÄRNAMO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46298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46298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46298</v>
      </c>
      <c r="F143" t="inlineStr">
        <is>
          <t>JÖNKÖPINGS LÄN</t>
        </is>
      </c>
      <c r="G143" t="inlineStr">
        <is>
          <t>VÄRNAMO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46298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46298</v>
      </c>
      <c r="F145" t="inlineStr">
        <is>
          <t>JÖNKÖPINGS LÄN</t>
        </is>
      </c>
      <c r="G145" t="inlineStr">
        <is>
          <t>VÄRNAMO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29382-2024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45483</v>
      </c>
      <c r="E146" s="1" t="n">
        <v>46298</v>
      </c>
      <c r="F146" t="inlineStr">
        <is>
          <t>JÖNKÖPINGS LÄN</t>
        </is>
      </c>
      <c r="G146" t="inlineStr">
        <is>
          <t>VÄRNAMO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46298</v>
      </c>
      <c r="F147" t="inlineStr">
        <is>
          <t>JÖNKÖPINGS LÄN</t>
        </is>
      </c>
      <c r="G147" t="inlineStr">
        <is>
          <t>VÄRNAMO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46029</v>
      </c>
      <c r="E148" s="1" t="n">
        <v>46298</v>
      </c>
      <c r="F148" t="inlineStr">
        <is>
          <t>JÖNKÖPINGS LÄN</t>
        </is>
      </c>
      <c r="G148" t="inlineStr">
        <is>
          <t>VÄRNAMO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46298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46298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46298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46298</v>
      </c>
      <c r="F152" t="inlineStr">
        <is>
          <t>JÖNKÖPINGS LÄN</t>
        </is>
      </c>
      <c r="G152" t="inlineStr">
        <is>
          <t>VÄRNAMO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46298</v>
      </c>
      <c r="F153" t="inlineStr">
        <is>
          <t>JÖNKÖPINGS LÄN</t>
        </is>
      </c>
      <c r="G153" t="inlineStr">
        <is>
          <t>VÄRNAMO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46298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46298</v>
      </c>
      <c r="F155" t="inlineStr">
        <is>
          <t>JÖNKÖPINGS LÄN</t>
        </is>
      </c>
      <c r="G155" t="inlineStr">
        <is>
          <t>VÄRNAMO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46298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46298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45758</v>
      </c>
      <c r="E158" s="1" t="n">
        <v>46298</v>
      </c>
      <c r="F158" t="inlineStr">
        <is>
          <t>JÖNKÖPINGS LÄN</t>
        </is>
      </c>
      <c r="G158" t="inlineStr">
        <is>
          <t>VÄRNAMO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46298</v>
      </c>
      <c r="F159" t="inlineStr">
        <is>
          <t>JÖNKÖPINGS LÄN</t>
        </is>
      </c>
      <c r="G159" t="inlineStr">
        <is>
          <t>VÄRNAMO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46298</v>
      </c>
      <c r="F160" t="inlineStr">
        <is>
          <t>JÖNKÖPINGS LÄN</t>
        </is>
      </c>
      <c r="G160" t="inlineStr">
        <is>
          <t>VÄRNAMO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46298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46298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46298</v>
      </c>
      <c r="F163" t="inlineStr">
        <is>
          <t>JÖNKÖPINGS LÄN</t>
        </is>
      </c>
      <c r="G163" t="inlineStr">
        <is>
          <t>VÄRNAMO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46298</v>
      </c>
      <c r="F164" t="inlineStr">
        <is>
          <t>JÖNKÖPINGS LÄN</t>
        </is>
      </c>
      <c r="G164" t="inlineStr">
        <is>
          <t>VÄRNAMO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46298</v>
      </c>
      <c r="F165" t="inlineStr">
        <is>
          <t>JÖNKÖPINGS LÄN</t>
        </is>
      </c>
      <c r="G165" t="inlineStr">
        <is>
          <t>VÄRNAMO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46298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46298</v>
      </c>
      <c r="F167" t="inlineStr">
        <is>
          <t>JÖNKÖPINGS LÄN</t>
        </is>
      </c>
      <c r="G167" t="inlineStr">
        <is>
          <t>VÄRNAMO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46298</v>
      </c>
      <c r="F168" t="inlineStr">
        <is>
          <t>JÖNKÖPINGS LÄN</t>
        </is>
      </c>
      <c r="G168" t="inlineStr">
        <is>
          <t>VÄRNAMO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46298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46298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46298</v>
      </c>
      <c r="F171" t="inlineStr">
        <is>
          <t>JÖNKÖPINGS LÄN</t>
        </is>
      </c>
      <c r="G171" t="inlineStr">
        <is>
          <t>VÄRNAMO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46298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46298</v>
      </c>
      <c r="F173" t="inlineStr">
        <is>
          <t>JÖNKÖPINGS LÄN</t>
        </is>
      </c>
      <c r="G173" t="inlineStr">
        <is>
          <t>VÄRNAMO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46298</v>
      </c>
      <c r="F174" t="inlineStr">
        <is>
          <t>JÖNKÖPINGS LÄN</t>
        </is>
      </c>
      <c r="G174" t="inlineStr">
        <is>
          <t>VÄRNAMO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46298</v>
      </c>
      <c r="F175" t="inlineStr">
        <is>
          <t>JÖNKÖPINGS LÄN</t>
        </is>
      </c>
      <c r="G175" t="inlineStr">
        <is>
          <t>VÄRNAMO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46298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46298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46298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46298</v>
      </c>
      <c r="F179" t="inlineStr">
        <is>
          <t>JÖNKÖPINGS LÄN</t>
        </is>
      </c>
      <c r="G179" t="inlineStr">
        <is>
          <t>VÄRNAMO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46298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46298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46298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46298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46298</v>
      </c>
      <c r="F184" t="inlineStr">
        <is>
          <t>JÖNKÖPINGS LÄN</t>
        </is>
      </c>
      <c r="G184" t="inlineStr">
        <is>
          <t>VÄRNAMO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46298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46298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46298</v>
      </c>
      <c r="F187" t="inlineStr">
        <is>
          <t>JÖNKÖPINGS LÄN</t>
        </is>
      </c>
      <c r="G187" t="inlineStr">
        <is>
          <t>VÄRNAMO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46298</v>
      </c>
      <c r="F188" t="inlineStr">
        <is>
          <t>JÖNKÖPINGS LÄN</t>
        </is>
      </c>
      <c r="G188" t="inlineStr">
        <is>
          <t>VÄRNAMO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46050</v>
      </c>
      <c r="E189" s="1" t="n">
        <v>46298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46298</v>
      </c>
      <c r="F190" t="inlineStr">
        <is>
          <t>JÖNKÖPINGS LÄN</t>
        </is>
      </c>
      <c r="G190" t="inlineStr">
        <is>
          <t>VÄRNAMO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46298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46298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46298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46298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46298</v>
      </c>
      <c r="F195" t="inlineStr">
        <is>
          <t>JÖNKÖPINGS LÄN</t>
        </is>
      </c>
      <c r="G195" t="inlineStr">
        <is>
          <t>VÄRNAMO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46298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46298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46298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46298</v>
      </c>
      <c r="F199" t="inlineStr">
        <is>
          <t>JÖNKÖPINGS LÄN</t>
        </is>
      </c>
      <c r="G199" t="inlineStr">
        <is>
          <t>VÄRNAMO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46298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46298</v>
      </c>
      <c r="F201" t="inlineStr">
        <is>
          <t>JÖNKÖPINGS LÄN</t>
        </is>
      </c>
      <c r="G201" t="inlineStr">
        <is>
          <t>VÄRNAMO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46298</v>
      </c>
      <c r="F202" t="inlineStr">
        <is>
          <t>JÖNKÖPINGS LÄN</t>
        </is>
      </c>
      <c r="G202" t="inlineStr">
        <is>
          <t>VÄRNAMO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45524</v>
      </c>
      <c r="E203" s="1" t="n">
        <v>46298</v>
      </c>
      <c r="F203" t="inlineStr">
        <is>
          <t>JÖNKÖPINGS LÄN</t>
        </is>
      </c>
      <c r="G203" t="inlineStr">
        <is>
          <t>VÄRNAMO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46298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45221</v>
      </c>
      <c r="E205" s="1" t="n">
        <v>46298</v>
      </c>
      <c r="F205" t="inlineStr">
        <is>
          <t>JÖNKÖPINGS LÄN</t>
        </is>
      </c>
      <c r="G205" t="inlineStr">
        <is>
          <t>VÄRNAMO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46298</v>
      </c>
      <c r="F206" t="inlineStr">
        <is>
          <t>JÖNKÖPINGS LÄN</t>
        </is>
      </c>
      <c r="G206" t="inlineStr">
        <is>
          <t>VÄRNAMO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46298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46298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46298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46298</v>
      </c>
      <c r="F210" t="inlineStr">
        <is>
          <t>JÖNKÖPINGS LÄN</t>
        </is>
      </c>
      <c r="G210" t="inlineStr">
        <is>
          <t>VÄRNAMO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46298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46298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46073</v>
      </c>
      <c r="E213" s="1" t="n">
        <v>46298</v>
      </c>
      <c r="F213" t="inlineStr">
        <is>
          <t>JÖNKÖPINGS LÄN</t>
        </is>
      </c>
      <c r="G213" t="inlineStr">
        <is>
          <t>VÄRNAMO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46298</v>
      </c>
      <c r="F214" t="inlineStr">
        <is>
          <t>JÖNKÖPINGS LÄN</t>
        </is>
      </c>
      <c r="G214" t="inlineStr">
        <is>
          <t>VÄRNAMO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46298</v>
      </c>
      <c r="F215" t="inlineStr">
        <is>
          <t>JÖNKÖPINGS LÄN</t>
        </is>
      </c>
      <c r="G215" t="inlineStr">
        <is>
          <t>VÄRNAMO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46298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46298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46298</v>
      </c>
      <c r="F218" t="inlineStr">
        <is>
          <t>JÖNKÖPINGS LÄN</t>
        </is>
      </c>
      <c r="G218" t="inlineStr">
        <is>
          <t>VÄRNAMO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46298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46298</v>
      </c>
      <c r="F220" t="inlineStr">
        <is>
          <t>JÖNKÖPINGS LÄN</t>
        </is>
      </c>
      <c r="G220" t="inlineStr">
        <is>
          <t>VÄRNAMO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44602</v>
      </c>
      <c r="E221" s="1" t="n">
        <v>46298</v>
      </c>
      <c r="F221" t="inlineStr">
        <is>
          <t>JÖNKÖPINGS LÄN</t>
        </is>
      </c>
      <c r="G221" t="inlineStr">
        <is>
          <t>VÄRNAMO</t>
        </is>
      </c>
      <c r="H221" t="inlineStr">
        <is>
          <t>Kommuner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46298</v>
      </c>
      <c r="F222" t="inlineStr">
        <is>
          <t>JÖNKÖPINGS LÄN</t>
        </is>
      </c>
      <c r="G222" t="inlineStr">
        <is>
          <t>VÄRNAMO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46298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44642</v>
      </c>
      <c r="E224" s="1" t="n">
        <v>46298</v>
      </c>
      <c r="F224" t="inlineStr">
        <is>
          <t>JÖNKÖPINGS LÄN</t>
        </is>
      </c>
      <c r="G224" t="inlineStr">
        <is>
          <t>VÄRNAMO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46298</v>
      </c>
      <c r="F225" t="inlineStr">
        <is>
          <t>JÖNKÖPINGS LÄN</t>
        </is>
      </c>
      <c r="G225" t="inlineStr">
        <is>
          <t>VÄRNAMO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46298</v>
      </c>
      <c r="F226" t="inlineStr">
        <is>
          <t>JÖNKÖPINGS LÄN</t>
        </is>
      </c>
      <c r="G226" t="inlineStr">
        <is>
          <t>VÄRNAMO</t>
        </is>
      </c>
      <c r="H226" t="inlineStr">
        <is>
          <t>Kommuner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46298</v>
      </c>
      <c r="F227" t="inlineStr">
        <is>
          <t>JÖNKÖPINGS LÄN</t>
        </is>
      </c>
      <c r="G227" t="inlineStr">
        <is>
          <t>VÄRNAMO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53473-2025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45959</v>
      </c>
      <c r="E228" s="1" t="n">
        <v>46298</v>
      </c>
      <c r="F228" t="inlineStr">
        <is>
          <t>JÖNKÖPINGS LÄN</t>
        </is>
      </c>
      <c r="G228" t="inlineStr">
        <is>
          <t>VÄRNAMO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46298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12095-2026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46086</v>
      </c>
      <c r="E230" s="1" t="n">
        <v>46298</v>
      </c>
      <c r="F230" t="inlineStr">
        <is>
          <t>JÖNKÖPINGS LÄN</t>
        </is>
      </c>
      <c r="G230" t="inlineStr">
        <is>
          <t>VÄRNAMO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46298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46298</v>
      </c>
      <c r="F232" t="inlineStr">
        <is>
          <t>JÖNKÖPINGS LÄN</t>
        </is>
      </c>
      <c r="G232" t="inlineStr">
        <is>
          <t>VÄRNAMO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46298</v>
      </c>
      <c r="F233" t="inlineStr">
        <is>
          <t>JÖNKÖPINGS LÄN</t>
        </is>
      </c>
      <c r="G233" t="inlineStr">
        <is>
          <t>VÄRNAMO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46298</v>
      </c>
      <c r="F234" t="inlineStr">
        <is>
          <t>JÖNKÖPINGS LÄN</t>
        </is>
      </c>
      <c r="G234" t="inlineStr">
        <is>
          <t>VÄRNAMO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44577</v>
      </c>
      <c r="E235" s="1" t="n">
        <v>46298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46298</v>
      </c>
      <c r="F236" t="inlineStr">
        <is>
          <t>JÖNKÖPINGS LÄN</t>
        </is>
      </c>
      <c r="G236" t="inlineStr">
        <is>
          <t>VÄRNAMO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46298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46298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46298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46298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46298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24703-2022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44727</v>
      </c>
      <c r="E242" s="1" t="n">
        <v>46298</v>
      </c>
      <c r="F242" t="inlineStr">
        <is>
          <t>JÖNKÖPINGS LÄN</t>
        </is>
      </c>
      <c r="G242" t="inlineStr">
        <is>
          <t>VÄRNAMO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46298</v>
      </c>
      <c r="F243" t="inlineStr">
        <is>
          <t>JÖNKÖPINGS LÄN</t>
        </is>
      </c>
      <c r="G243" t="inlineStr">
        <is>
          <t>VÄRNAMO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46298</v>
      </c>
      <c r="F244" t="inlineStr">
        <is>
          <t>JÖNKÖPINGS LÄN</t>
        </is>
      </c>
      <c r="G244" t="inlineStr">
        <is>
          <t>VÄRNAMO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46298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46298</v>
      </c>
      <c r="F246" t="inlineStr">
        <is>
          <t>JÖNKÖPINGS LÄN</t>
        </is>
      </c>
      <c r="G246" t="inlineStr">
        <is>
          <t>VÄRNAMO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46298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46298</v>
      </c>
      <c r="F248" t="inlineStr">
        <is>
          <t>JÖNKÖPINGS LÄN</t>
        </is>
      </c>
      <c r="G248" t="inlineStr">
        <is>
          <t>VÄRNAMO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45267</v>
      </c>
      <c r="E249" s="1" t="n">
        <v>46298</v>
      </c>
      <c r="F249" t="inlineStr">
        <is>
          <t>JÖNKÖPINGS LÄN</t>
        </is>
      </c>
      <c r="G249" t="inlineStr">
        <is>
          <t>VÄRNAMO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46298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46298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46298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46298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46298</v>
      </c>
      <c r="F254" t="inlineStr">
        <is>
          <t>JÖNKÖPINGS LÄN</t>
        </is>
      </c>
      <c r="G254" t="inlineStr">
        <is>
          <t>VÄRNAMO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46298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46298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46298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46298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46298</v>
      </c>
      <c r="F259" t="inlineStr">
        <is>
          <t>JÖNKÖPINGS LÄN</t>
        </is>
      </c>
      <c r="G259" t="inlineStr">
        <is>
          <t>VÄRNAMO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46298</v>
      </c>
      <c r="F260" t="inlineStr">
        <is>
          <t>JÖNKÖPINGS LÄN</t>
        </is>
      </c>
      <c r="G260" t="inlineStr">
        <is>
          <t>VÄRNAMO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46298</v>
      </c>
      <c r="F261" t="inlineStr">
        <is>
          <t>JÖNKÖPINGS LÄN</t>
        </is>
      </c>
      <c r="G261" t="inlineStr">
        <is>
          <t>VÄRNAMO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46298</v>
      </c>
      <c r="F262" t="inlineStr">
        <is>
          <t>JÖNKÖPINGS LÄN</t>
        </is>
      </c>
      <c r="G262" t="inlineStr">
        <is>
          <t>VÄRNAMO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44840</v>
      </c>
      <c r="E263" s="1" t="n">
        <v>46298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45649</v>
      </c>
      <c r="E264" s="1" t="n">
        <v>46298</v>
      </c>
      <c r="F264" t="inlineStr">
        <is>
          <t>JÖNKÖPINGS LÄN</t>
        </is>
      </c>
      <c r="G264" t="inlineStr">
        <is>
          <t>VÄRNAMO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46298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46298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46298</v>
      </c>
      <c r="F267" t="inlineStr">
        <is>
          <t>JÖNKÖPINGS LÄN</t>
        </is>
      </c>
      <c r="G267" t="inlineStr">
        <is>
          <t>VÄRNAMO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46298</v>
      </c>
      <c r="F268" t="inlineStr">
        <is>
          <t>JÖNKÖPINGS LÄN</t>
        </is>
      </c>
      <c r="G268" t="inlineStr">
        <is>
          <t>VÄRNAMO</t>
        </is>
      </c>
      <c r="H268" t="inlineStr">
        <is>
          <t>Kyrkan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46298</v>
      </c>
      <c r="F269" t="inlineStr">
        <is>
          <t>JÖNKÖPINGS LÄN</t>
        </is>
      </c>
      <c r="G269" t="inlineStr">
        <is>
          <t>VÄRNAMO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46298</v>
      </c>
      <c r="F270" t="inlineStr">
        <is>
          <t>JÖNKÖPINGS LÄN</t>
        </is>
      </c>
      <c r="G270" t="inlineStr">
        <is>
          <t>VÄRNAMO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45217</v>
      </c>
      <c r="E271" s="1" t="n">
        <v>46298</v>
      </c>
      <c r="F271" t="inlineStr">
        <is>
          <t>JÖNKÖPINGS LÄN</t>
        </is>
      </c>
      <c r="G271" t="inlineStr">
        <is>
          <t>VÄRNAMO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46298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46298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46298</v>
      </c>
      <c r="F274" t="inlineStr">
        <is>
          <t>JÖNKÖPINGS LÄN</t>
        </is>
      </c>
      <c r="G274" t="inlineStr">
        <is>
          <t>VÄRNAMO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46298</v>
      </c>
      <c r="F275" t="inlineStr">
        <is>
          <t>JÖNKÖPINGS LÄN</t>
        </is>
      </c>
      <c r="G275" t="inlineStr">
        <is>
          <t>VÄRNAMO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46298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46298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15101-2026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46101</v>
      </c>
      <c r="E278" s="1" t="n">
        <v>46298</v>
      </c>
      <c r="F278" t="inlineStr">
        <is>
          <t>JÖNKÖPINGS LÄN</t>
        </is>
      </c>
      <c r="G278" t="inlineStr">
        <is>
          <t>VÄRNAMO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46298</v>
      </c>
      <c r="F279" t="inlineStr">
        <is>
          <t>JÖNKÖPINGS LÄN</t>
        </is>
      </c>
      <c r="G279" t="inlineStr">
        <is>
          <t>VÄRNAMO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46298</v>
      </c>
      <c r="F280" t="inlineStr">
        <is>
          <t>JÖNKÖPINGS LÄN</t>
        </is>
      </c>
      <c r="G280" t="inlineStr">
        <is>
          <t>VÄRNAMO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45324</v>
      </c>
      <c r="E281" s="1" t="n">
        <v>46298</v>
      </c>
      <c r="F281" t="inlineStr">
        <is>
          <t>JÖNKÖPINGS LÄN</t>
        </is>
      </c>
      <c r="G281" t="inlineStr">
        <is>
          <t>VÄRNAMO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46298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46298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46298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46298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45120-2023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45191</v>
      </c>
      <c r="E286" s="1" t="n">
        <v>46298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46298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46298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46298</v>
      </c>
      <c r="F289" t="inlineStr">
        <is>
          <t>JÖNKÖPINGS LÄN</t>
        </is>
      </c>
      <c r="G289" t="inlineStr">
        <is>
          <t>VÄRNAMO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46298</v>
      </c>
      <c r="F290" t="inlineStr">
        <is>
          <t>JÖNKÖPINGS LÄN</t>
        </is>
      </c>
      <c r="G290" t="inlineStr">
        <is>
          <t>VÄRNAMO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46298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46298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46298</v>
      </c>
      <c r="F293" t="inlineStr">
        <is>
          <t>JÖNKÖPINGS LÄN</t>
        </is>
      </c>
      <c r="G293" t="inlineStr">
        <is>
          <t>VÄRNAMO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44853</v>
      </c>
      <c r="E294" s="1" t="n">
        <v>46298</v>
      </c>
      <c r="F294" t="inlineStr">
        <is>
          <t>JÖNKÖPINGS LÄN</t>
        </is>
      </c>
      <c r="G294" t="inlineStr">
        <is>
          <t>VÄRNAMO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47987-2022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44853</v>
      </c>
      <c r="E295" s="1" t="n">
        <v>46298</v>
      </c>
      <c r="F295" t="inlineStr">
        <is>
          <t>JÖNKÖPINGS LÄN</t>
        </is>
      </c>
      <c r="G295" t="inlineStr">
        <is>
          <t>VÄRNAMO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46298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46298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46298</v>
      </c>
      <c r="F298" t="inlineStr">
        <is>
          <t>JÖNKÖPINGS LÄN</t>
        </is>
      </c>
      <c r="G298" t="inlineStr">
        <is>
          <t>VÄRNAMO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46298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46298</v>
      </c>
      <c r="F300" t="inlineStr">
        <is>
          <t>JÖNKÖPINGS LÄN</t>
        </is>
      </c>
      <c r="G300" t="inlineStr">
        <is>
          <t>VÄRNAMO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46298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45659</v>
      </c>
      <c r="E302" s="1" t="n">
        <v>46298</v>
      </c>
      <c r="F302" t="inlineStr">
        <is>
          <t>JÖNKÖPINGS LÄN</t>
        </is>
      </c>
      <c r="G302" t="inlineStr">
        <is>
          <t>VÄRNAMO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46298</v>
      </c>
      <c r="F303" t="inlineStr">
        <is>
          <t>JÖNKÖPINGS LÄN</t>
        </is>
      </c>
      <c r="G303" t="inlineStr">
        <is>
          <t>VÄRNAMO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45509</v>
      </c>
      <c r="E304" s="1" t="n">
        <v>46298</v>
      </c>
      <c r="F304" t="inlineStr">
        <is>
          <t>JÖNKÖPINGS LÄN</t>
        </is>
      </c>
      <c r="G304" t="inlineStr">
        <is>
          <t>VÄRNAMO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46298</v>
      </c>
      <c r="F305" t="inlineStr">
        <is>
          <t>JÖNKÖPINGS LÄN</t>
        </is>
      </c>
      <c r="G305" t="inlineStr">
        <is>
          <t>VÄRNAMO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46298</v>
      </c>
      <c r="F306" t="inlineStr">
        <is>
          <t>JÖNKÖPINGS LÄN</t>
        </is>
      </c>
      <c r="G306" t="inlineStr">
        <is>
          <t>VÄRNAMO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46298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46298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40486-2022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44823</v>
      </c>
      <c r="E309" s="1" t="n">
        <v>46298</v>
      </c>
      <c r="F309" t="inlineStr">
        <is>
          <t>JÖNKÖPINGS LÄN</t>
        </is>
      </c>
      <c r="G309" t="inlineStr">
        <is>
          <t>VÄRNAMO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48664-2023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46298</v>
      </c>
      <c r="F310" t="inlineStr">
        <is>
          <t>JÖNKÖPINGS LÄN</t>
        </is>
      </c>
      <c r="G310" t="inlineStr">
        <is>
          <t>VÄRNAMO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46298</v>
      </c>
      <c r="F311" t="inlineStr">
        <is>
          <t>JÖNKÖPINGS LÄN</t>
        </is>
      </c>
      <c r="G311" t="inlineStr">
        <is>
          <t>VÄRNAMO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46298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46298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45845</v>
      </c>
      <c r="E314" s="1" t="n">
        <v>46298</v>
      </c>
      <c r="F314" t="inlineStr">
        <is>
          <t>JÖNKÖPINGS LÄN</t>
        </is>
      </c>
      <c r="G314" t="inlineStr">
        <is>
          <t>VÄRNAMO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46298</v>
      </c>
      <c r="F315" t="inlineStr">
        <is>
          <t>JÖNKÖPINGS LÄN</t>
        </is>
      </c>
      <c r="G315" t="inlineStr">
        <is>
          <t>VÄRNAMO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46298</v>
      </c>
      <c r="F316" t="inlineStr">
        <is>
          <t>JÖNKÖPINGS LÄN</t>
        </is>
      </c>
      <c r="G316" t="inlineStr">
        <is>
          <t>VÄRNAMO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46298</v>
      </c>
      <c r="F317" t="inlineStr">
        <is>
          <t>JÖNKÖPINGS LÄN</t>
        </is>
      </c>
      <c r="G317" t="inlineStr">
        <is>
          <t>VÄRNAMO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45124</v>
      </c>
      <c r="E318" s="1" t="n">
        <v>46298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45056</v>
      </c>
      <c r="E319" s="1" t="n">
        <v>46298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45726</v>
      </c>
      <c r="E320" s="1" t="n">
        <v>46298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46298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44473</v>
      </c>
      <c r="E322" s="1" t="n">
        <v>46298</v>
      </c>
      <c r="F322" t="inlineStr">
        <is>
          <t>JÖNKÖPINGS LÄN</t>
        </is>
      </c>
      <c r="G322" t="inlineStr">
        <is>
          <t>VÄRNAMO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46298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46298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46298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46298</v>
      </c>
      <c r="F326" t="inlineStr">
        <is>
          <t>JÖNKÖPINGS LÄN</t>
        </is>
      </c>
      <c r="G326" t="inlineStr">
        <is>
          <t>VÄRNAMO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46298</v>
      </c>
      <c r="F327" t="inlineStr">
        <is>
          <t>JÖNKÖPINGS LÄN</t>
        </is>
      </c>
      <c r="G327" t="inlineStr">
        <is>
          <t>VÄRNAMO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46298</v>
      </c>
      <c r="F328" t="inlineStr">
        <is>
          <t>JÖNKÖPINGS LÄN</t>
        </is>
      </c>
      <c r="G328" t="inlineStr">
        <is>
          <t>VÄRNAMO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46298</v>
      </c>
      <c r="F329" t="inlineStr">
        <is>
          <t>JÖNKÖPINGS LÄN</t>
        </is>
      </c>
      <c r="G329" t="inlineStr">
        <is>
          <t>VÄRNAMO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46298</v>
      </c>
      <c r="F330" t="inlineStr">
        <is>
          <t>JÖNKÖPINGS LÄN</t>
        </is>
      </c>
      <c r="G330" t="inlineStr">
        <is>
          <t>VÄRNAMO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46298</v>
      </c>
      <c r="F331" t="inlineStr">
        <is>
          <t>JÖNKÖPINGS LÄN</t>
        </is>
      </c>
      <c r="G331" t="inlineStr">
        <is>
          <t>VÄRNAMO</t>
        </is>
      </c>
      <c r="H331" t="inlineStr">
        <is>
          <t>Kommuner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46298</v>
      </c>
      <c r="F332" t="inlineStr">
        <is>
          <t>JÖNKÖPINGS LÄN</t>
        </is>
      </c>
      <c r="G332" t="inlineStr">
        <is>
          <t>VÄRNAMO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45229</v>
      </c>
      <c r="E333" s="1" t="n">
        <v>46298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46298</v>
      </c>
      <c r="F334" t="inlineStr">
        <is>
          <t>JÖNKÖPINGS LÄN</t>
        </is>
      </c>
      <c r="G334" t="inlineStr">
        <is>
          <t>VÄRNAMO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45748</v>
      </c>
      <c r="E335" s="1" t="n">
        <v>46298</v>
      </c>
      <c r="F335" t="inlineStr">
        <is>
          <t>JÖNKÖPINGS LÄN</t>
        </is>
      </c>
      <c r="G335" t="inlineStr">
        <is>
          <t>VÄRNAMO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46298</v>
      </c>
      <c r="F336" t="inlineStr">
        <is>
          <t>JÖNKÖPINGS LÄN</t>
        </is>
      </c>
      <c r="G336" t="inlineStr">
        <is>
          <t>VÄRNAMO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33315-2025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46298</v>
      </c>
      <c r="F337" t="inlineStr">
        <is>
          <t>JÖNKÖPINGS LÄN</t>
        </is>
      </c>
      <c r="G337" t="inlineStr">
        <is>
          <t>VÄRNAMO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46298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46298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46298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46298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46298</v>
      </c>
      <c r="F342" t="inlineStr">
        <is>
          <t>JÖNKÖPINGS LÄN</t>
        </is>
      </c>
      <c r="G342" t="inlineStr">
        <is>
          <t>VÄRNAMO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46298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45044</v>
      </c>
      <c r="E344" s="1" t="n">
        <v>46298</v>
      </c>
      <c r="F344" t="inlineStr">
        <is>
          <t>JÖNKÖPINGS LÄN</t>
        </is>
      </c>
      <c r="G344" t="inlineStr">
        <is>
          <t>VÄRNAMO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46298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46298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46298</v>
      </c>
      <c r="F347" t="inlineStr">
        <is>
          <t>JÖNKÖPINGS LÄN</t>
        </is>
      </c>
      <c r="G347" t="inlineStr">
        <is>
          <t>VÄRNAMO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46298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46298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45509</v>
      </c>
      <c r="E350" s="1" t="n">
        <v>46298</v>
      </c>
      <c r="F350" t="inlineStr">
        <is>
          <t>JÖNKÖPINGS LÄN</t>
        </is>
      </c>
      <c r="G350" t="inlineStr">
        <is>
          <t>VÄRNAMO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46298</v>
      </c>
      <c r="F351" t="inlineStr">
        <is>
          <t>JÖNKÖPINGS LÄN</t>
        </is>
      </c>
      <c r="G351" t="inlineStr">
        <is>
          <t>VÄRNAMO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46298</v>
      </c>
      <c r="F352" t="inlineStr">
        <is>
          <t>JÖNKÖPINGS LÄN</t>
        </is>
      </c>
      <c r="G352" t="inlineStr">
        <is>
          <t>VÄRNAMO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54477-2022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44882</v>
      </c>
      <c r="E353" s="1" t="n">
        <v>46298</v>
      </c>
      <c r="F353" t="inlineStr">
        <is>
          <t>JÖNKÖPINGS LÄN</t>
        </is>
      </c>
      <c r="G353" t="inlineStr">
        <is>
          <t>VÄRNAMO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45112</v>
      </c>
      <c r="E354" s="1" t="n">
        <v>46298</v>
      </c>
      <c r="F354" t="inlineStr">
        <is>
          <t>JÖNKÖPINGS LÄN</t>
        </is>
      </c>
      <c r="G354" t="inlineStr">
        <is>
          <t>VÄRNAMO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46298</v>
      </c>
      <c r="F355" t="inlineStr">
        <is>
          <t>JÖNKÖPINGS LÄN</t>
        </is>
      </c>
      <c r="G355" t="inlineStr">
        <is>
          <t>VÄRNAMO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46298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46298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46298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45802</v>
      </c>
      <c r="E359" s="1" t="n">
        <v>46298</v>
      </c>
      <c r="F359" t="inlineStr">
        <is>
          <t>JÖNKÖPINGS LÄN</t>
        </is>
      </c>
      <c r="G359" t="inlineStr">
        <is>
          <t>VÄRNAMO</t>
        </is>
      </c>
      <c r="H359" t="inlineStr">
        <is>
          <t>Övriga Aktiebolag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46298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46298</v>
      </c>
      <c r="F361" t="inlineStr">
        <is>
          <t>JÖNKÖPINGS LÄN</t>
        </is>
      </c>
      <c r="G361" t="inlineStr">
        <is>
          <t>VÄRNAMO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45400</v>
      </c>
      <c r="E362" s="1" t="n">
        <v>46298</v>
      </c>
      <c r="F362" t="inlineStr">
        <is>
          <t>JÖNKÖPINGS LÄN</t>
        </is>
      </c>
      <c r="G362" t="inlineStr">
        <is>
          <t>VÄRNAMO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45221</v>
      </c>
      <c r="E363" s="1" t="n">
        <v>46298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45873</v>
      </c>
      <c r="E364" s="1" t="n">
        <v>46298</v>
      </c>
      <c r="F364" t="inlineStr">
        <is>
          <t>JÖNKÖPINGS LÄN</t>
        </is>
      </c>
      <c r="G364" t="inlineStr">
        <is>
          <t>VÄRNAMO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46298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46298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45272</v>
      </c>
      <c r="E367" s="1" t="n">
        <v>46298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45369</v>
      </c>
      <c r="E368" s="1" t="n">
        <v>46298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46298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45873</v>
      </c>
      <c r="E370" s="1" t="n">
        <v>46298</v>
      </c>
      <c r="F370" t="inlineStr">
        <is>
          <t>JÖNKÖPINGS LÄN</t>
        </is>
      </c>
      <c r="G370" t="inlineStr">
        <is>
          <t>VÄRNAMO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42575-2022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44831</v>
      </c>
      <c r="E371" s="1" t="n">
        <v>46298</v>
      </c>
      <c r="F371" t="inlineStr">
        <is>
          <t>JÖNKÖPINGS LÄN</t>
        </is>
      </c>
      <c r="G371" t="inlineStr">
        <is>
          <t>VÄRNAMO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44608</v>
      </c>
      <c r="E372" s="1" t="n">
        <v>46298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45718</v>
      </c>
      <c r="E373" s="1" t="n">
        <v>46298</v>
      </c>
      <c r="F373" t="inlineStr">
        <is>
          <t>JÖNKÖPINGS LÄN</t>
        </is>
      </c>
      <c r="G373" t="inlineStr">
        <is>
          <t>VÄRNAMO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46298</v>
      </c>
      <c r="F374" t="inlineStr">
        <is>
          <t>JÖNKÖPINGS LÄN</t>
        </is>
      </c>
      <c r="G374" t="inlineStr">
        <is>
          <t>VÄRNAMO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8968-2024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45357</v>
      </c>
      <c r="E375" s="1" t="n">
        <v>46298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44642</v>
      </c>
      <c r="E376" s="1" t="n">
        <v>46298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46298</v>
      </c>
      <c r="F377" t="inlineStr">
        <is>
          <t>JÖNKÖPINGS LÄN</t>
        </is>
      </c>
      <c r="G377" t="inlineStr">
        <is>
          <t>VÄRNAMO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46160</v>
      </c>
      <c r="E378" s="1" t="n">
        <v>46298</v>
      </c>
      <c r="F378" t="inlineStr">
        <is>
          <t>JÖNKÖPINGS LÄN</t>
        </is>
      </c>
      <c r="G378" t="inlineStr">
        <is>
          <t>VÄRNAMO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46298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46298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45496</v>
      </c>
      <c r="E381" s="1" t="n">
        <v>46298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46298</v>
      </c>
      <c r="F382" t="inlineStr">
        <is>
          <t>JÖNKÖPINGS LÄN</t>
        </is>
      </c>
      <c r="G382" t="inlineStr">
        <is>
          <t>VÄRNAMO</t>
        </is>
      </c>
      <c r="I382" t="n">
        <v>14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46298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46298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46298</v>
      </c>
      <c r="F385" t="inlineStr">
        <is>
          <t>JÖNKÖPINGS LÄN</t>
        </is>
      </c>
      <c r="G385" t="inlineStr">
        <is>
          <t>VÄRNAMO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46298</v>
      </c>
      <c r="F386" t="inlineStr">
        <is>
          <t>JÖNKÖPINGS LÄN</t>
        </is>
      </c>
      <c r="G386" t="inlineStr">
        <is>
          <t>VÄRNAMO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45401</v>
      </c>
      <c r="E387" s="1" t="n">
        <v>46298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46298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74102-2021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44557</v>
      </c>
      <c r="E389" s="1" t="n">
        <v>46298</v>
      </c>
      <c r="F389" t="inlineStr">
        <is>
          <t>JÖNKÖPINGS LÄN</t>
        </is>
      </c>
      <c r="G389" t="inlineStr">
        <is>
          <t>VÄRNAMO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46298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63915-2023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46298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46298</v>
      </c>
      <c r="F392" t="inlineStr">
        <is>
          <t>JÖNKÖPINGS LÄN</t>
        </is>
      </c>
      <c r="G392" t="inlineStr">
        <is>
          <t>VÄRNAMO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46298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71233-2021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46298</v>
      </c>
      <c r="F394" t="inlineStr">
        <is>
          <t>JÖNKÖPINGS LÄN</t>
        </is>
      </c>
      <c r="G394" t="inlineStr">
        <is>
          <t>VÄRNAMO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46298</v>
      </c>
      <c r="F395" t="inlineStr">
        <is>
          <t>JÖNKÖPINGS LÄN</t>
        </is>
      </c>
      <c r="G395" t="inlineStr">
        <is>
          <t>VÄRNAMO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45160</v>
      </c>
      <c r="E396" s="1" t="n">
        <v>46298</v>
      </c>
      <c r="F396" t="inlineStr">
        <is>
          <t>JÖNKÖPINGS LÄN</t>
        </is>
      </c>
      <c r="G396" t="inlineStr">
        <is>
          <t>VÄRNAMO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46298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46172</v>
      </c>
      <c r="E398" s="1" t="n">
        <v>46298</v>
      </c>
      <c r="F398" t="inlineStr">
        <is>
          <t>JÖNKÖPINGS LÄN</t>
        </is>
      </c>
      <c r="G398" t="inlineStr">
        <is>
          <t>VÄRNAMO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46298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46298</v>
      </c>
      <c r="F400" t="inlineStr">
        <is>
          <t>JÖNKÖPINGS LÄN</t>
        </is>
      </c>
      <c r="G400" t="inlineStr">
        <is>
          <t>VÄRNAMO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46298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46298</v>
      </c>
      <c r="F402" t="inlineStr">
        <is>
          <t>JÖNKÖPINGS LÄN</t>
        </is>
      </c>
      <c r="G402" t="inlineStr">
        <is>
          <t>VÄRNAMO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46298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46298</v>
      </c>
      <c r="F404" t="inlineStr">
        <is>
          <t>JÖNKÖPINGS LÄN</t>
        </is>
      </c>
      <c r="G404" t="inlineStr">
        <is>
          <t>VÄRNAMO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46298</v>
      </c>
      <c r="F405" t="inlineStr">
        <is>
          <t>JÖNKÖPINGS LÄN</t>
        </is>
      </c>
      <c r="G405" t="inlineStr">
        <is>
          <t>VÄRNAMO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45622</v>
      </c>
      <c r="E406" s="1" t="n">
        <v>46298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46298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46863-2023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45200</v>
      </c>
      <c r="E408" s="1" t="n">
        <v>46298</v>
      </c>
      <c r="F408" t="inlineStr">
        <is>
          <t>JÖNKÖPINGS LÄN</t>
        </is>
      </c>
      <c r="G408" t="inlineStr">
        <is>
          <t>VÄRNAMO</t>
        </is>
      </c>
      <c r="H408" t="inlineStr">
        <is>
          <t>Övriga Aktiebolag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45106</v>
      </c>
      <c r="E409" s="1" t="n">
        <v>46298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44686</v>
      </c>
      <c r="E410" s="1" t="n">
        <v>46298</v>
      </c>
      <c r="F410" t="inlineStr">
        <is>
          <t>JÖNKÖPINGS LÄN</t>
        </is>
      </c>
      <c r="G410" t="inlineStr">
        <is>
          <t>VÄRNAMO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46298</v>
      </c>
      <c r="F411" t="inlineStr">
        <is>
          <t>JÖNKÖPINGS LÄN</t>
        </is>
      </c>
      <c r="G411" t="inlineStr">
        <is>
          <t>VÄRNAMO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46298</v>
      </c>
      <c r="F412" t="inlineStr">
        <is>
          <t>JÖNKÖPINGS LÄN</t>
        </is>
      </c>
      <c r="G412" t="inlineStr">
        <is>
          <t>VÄRNAMO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46298</v>
      </c>
      <c r="F413" t="inlineStr">
        <is>
          <t>JÖNKÖPINGS LÄN</t>
        </is>
      </c>
      <c r="G413" t="inlineStr">
        <is>
          <t>VÄRNAMO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46298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46298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46298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46298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27153-2026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46188</v>
      </c>
      <c r="E418" s="1" t="n">
        <v>46298</v>
      </c>
      <c r="F418" t="inlineStr">
        <is>
          <t>JÖNKÖPINGS LÄN</t>
        </is>
      </c>
      <c r="G418" t="inlineStr">
        <is>
          <t>VÄRNAMO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46298</v>
      </c>
      <c r="F419" t="inlineStr">
        <is>
          <t>JÖNKÖPINGS LÄN</t>
        </is>
      </c>
      <c r="G419" t="inlineStr">
        <is>
          <t>VÄRNAMO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46298</v>
      </c>
      <c r="F420" t="inlineStr">
        <is>
          <t>JÖNKÖPINGS LÄN</t>
        </is>
      </c>
      <c r="G420" t="inlineStr">
        <is>
          <t>VÄRNAMO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46298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46298</v>
      </c>
      <c r="F422" t="inlineStr">
        <is>
          <t>JÖNKÖPINGS LÄN</t>
        </is>
      </c>
      <c r="G422" t="inlineStr">
        <is>
          <t>VÄRNAMO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35120-2022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46298</v>
      </c>
      <c r="F423" t="inlineStr">
        <is>
          <t>JÖNKÖPINGS LÄN</t>
        </is>
      </c>
      <c r="G423" t="inlineStr">
        <is>
          <t>VÄRNAMO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45302</v>
      </c>
      <c r="E424" s="1" t="n">
        <v>46298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46298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46298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46298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46298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46298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46298</v>
      </c>
      <c r="F430" t="inlineStr">
        <is>
          <t>JÖNKÖPINGS LÄN</t>
        </is>
      </c>
      <c r="G430" t="inlineStr">
        <is>
          <t>VÄRNAMO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46193</v>
      </c>
      <c r="E431" s="1" t="n">
        <v>46298</v>
      </c>
      <c r="F431" t="inlineStr">
        <is>
          <t>JÖNKÖPINGS LÄN</t>
        </is>
      </c>
      <c r="G431" t="inlineStr">
        <is>
          <t>VÄRNAMO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46298</v>
      </c>
      <c r="F432" t="inlineStr">
        <is>
          <t>JÖNKÖPINGS LÄN</t>
        </is>
      </c>
      <c r="G432" t="inlineStr">
        <is>
          <t>VÄRNAMO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46298</v>
      </c>
      <c r="F433" t="inlineStr">
        <is>
          <t>JÖNKÖPINGS LÄN</t>
        </is>
      </c>
      <c r="G433" t="inlineStr">
        <is>
          <t>VÄRNAMO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46298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46298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46298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46298</v>
      </c>
      <c r="F437" t="inlineStr">
        <is>
          <t>JÖNKÖPINGS LÄN</t>
        </is>
      </c>
      <c r="G437" t="inlineStr">
        <is>
          <t>VÄRNAMO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45505</v>
      </c>
      <c r="E438" s="1" t="n">
        <v>46298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46298</v>
      </c>
      <c r="F439" t="inlineStr">
        <is>
          <t>JÖNKÖPINGS LÄN</t>
        </is>
      </c>
      <c r="G439" t="inlineStr">
        <is>
          <t>VÄRNAMO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46298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46298</v>
      </c>
      <c r="F441" t="inlineStr">
        <is>
          <t>JÖNKÖPINGS LÄN</t>
        </is>
      </c>
      <c r="G441" t="inlineStr">
        <is>
          <t>VÄRNAMO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46298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46298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46298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46298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46298</v>
      </c>
      <c r="F446" t="inlineStr">
        <is>
          <t>JÖNKÖPINGS LÄN</t>
        </is>
      </c>
      <c r="G446" t="inlineStr">
        <is>
          <t>VÄRNAMO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46298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46298</v>
      </c>
      <c r="F448" t="inlineStr">
        <is>
          <t>JÖNKÖPINGS LÄN</t>
        </is>
      </c>
      <c r="G448" t="inlineStr">
        <is>
          <t>VÄRNAMO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45007</v>
      </c>
      <c r="E449" s="1" t="n">
        <v>46298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46298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46298</v>
      </c>
      <c r="F451" t="inlineStr">
        <is>
          <t>JÖNKÖPINGS LÄN</t>
        </is>
      </c>
      <c r="G451" t="inlineStr">
        <is>
          <t>VÄRNAMO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45443</v>
      </c>
      <c r="E452" s="1" t="n">
        <v>46298</v>
      </c>
      <c r="F452" t="inlineStr">
        <is>
          <t>JÖNKÖPINGS LÄN</t>
        </is>
      </c>
      <c r="G452" t="inlineStr">
        <is>
          <t>VÄRNAMO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46298</v>
      </c>
      <c r="F453" t="inlineStr">
        <is>
          <t>JÖNKÖPINGS LÄN</t>
        </is>
      </c>
      <c r="G453" t="inlineStr">
        <is>
          <t>VÄRNAMO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45302</v>
      </c>
      <c r="E454" s="1" t="n">
        <v>46298</v>
      </c>
      <c r="F454" t="inlineStr">
        <is>
          <t>JÖNKÖPINGS LÄN</t>
        </is>
      </c>
      <c r="G454" t="inlineStr">
        <is>
          <t>VÄRNAMO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44652</v>
      </c>
      <c r="E455" s="1" t="n">
        <v>46298</v>
      </c>
      <c r="F455" t="inlineStr">
        <is>
          <t>JÖNKÖPINGS LÄN</t>
        </is>
      </c>
      <c r="G455" t="inlineStr">
        <is>
          <t>VÄRNAMO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46298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46298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46298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46298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46298</v>
      </c>
      <c r="F460" t="inlineStr">
        <is>
          <t>JÖNKÖPINGS LÄN</t>
        </is>
      </c>
      <c r="G460" t="inlineStr">
        <is>
          <t>VÄRNAMO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46298</v>
      </c>
      <c r="F461" t="inlineStr">
        <is>
          <t>JÖNKÖPINGS LÄN</t>
        </is>
      </c>
      <c r="G461" t="inlineStr">
        <is>
          <t>VÄRNAMO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46298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46298</v>
      </c>
      <c r="F463" t="inlineStr">
        <is>
          <t>JÖNKÖPINGS LÄN</t>
        </is>
      </c>
      <c r="G463" t="inlineStr">
        <is>
          <t>VÄRNAMO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46298</v>
      </c>
      <c r="F464" t="inlineStr">
        <is>
          <t>JÖNKÖPINGS LÄN</t>
        </is>
      </c>
      <c r="G464" t="inlineStr">
        <is>
          <t>VÄRNAMO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46298</v>
      </c>
      <c r="F465" t="inlineStr">
        <is>
          <t>JÖNKÖPINGS LÄN</t>
        </is>
      </c>
      <c r="G465" t="inlineStr">
        <is>
          <t>VÄRNAMO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46298</v>
      </c>
      <c r="F466" t="inlineStr">
        <is>
          <t>JÖNKÖPINGS LÄN</t>
        </is>
      </c>
      <c r="G466" t="inlineStr">
        <is>
          <t>VÄRNAMO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46298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46298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44994</v>
      </c>
      <c r="E469" s="1" t="n">
        <v>46298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46298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46298</v>
      </c>
      <c r="F471" t="inlineStr">
        <is>
          <t>JÖNKÖPINGS LÄN</t>
        </is>
      </c>
      <c r="G471" t="inlineStr">
        <is>
          <t>VÄRNAMO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46298</v>
      </c>
      <c r="F472" t="inlineStr">
        <is>
          <t>JÖNKÖPINGS LÄN</t>
        </is>
      </c>
      <c r="G472" t="inlineStr">
        <is>
          <t>VÄRNAMO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46298</v>
      </c>
      <c r="F473" t="inlineStr">
        <is>
          <t>JÖNKÖPINGS LÄN</t>
        </is>
      </c>
      <c r="G473" t="inlineStr">
        <is>
          <t>VÄRNAMO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45509</v>
      </c>
      <c r="E474" s="1" t="n">
        <v>46298</v>
      </c>
      <c r="F474" t="inlineStr">
        <is>
          <t>JÖNKÖPINGS LÄN</t>
        </is>
      </c>
      <c r="G474" t="inlineStr">
        <is>
          <t>VÄRNAMO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46298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29162-2023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45105</v>
      </c>
      <c r="E476" s="1" t="n">
        <v>46298</v>
      </c>
      <c r="F476" t="inlineStr">
        <is>
          <t>JÖNKÖPINGS LÄN</t>
        </is>
      </c>
      <c r="G476" t="inlineStr">
        <is>
          <t>VÄRNAMO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29168-2023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45105</v>
      </c>
      <c r="E477" s="1" t="n">
        <v>46298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45631</v>
      </c>
      <c r="E478" s="1" t="n">
        <v>46298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14439-2023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45012</v>
      </c>
      <c r="E479" s="1" t="n">
        <v>46298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46298</v>
      </c>
      <c r="F480" t="inlineStr">
        <is>
          <t>JÖNKÖPINGS LÄN</t>
        </is>
      </c>
      <c r="G480" t="inlineStr">
        <is>
          <t>VÄRNAMO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46298</v>
      </c>
      <c r="F481" t="inlineStr">
        <is>
          <t>JÖNKÖPINGS LÄN</t>
        </is>
      </c>
      <c r="G481" t="inlineStr">
        <is>
          <t>VÄRNAMO</t>
        </is>
      </c>
      <c r="H481" t="inlineStr">
        <is>
          <t>Kommuner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46298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46298</v>
      </c>
      <c r="F483" t="inlineStr">
        <is>
          <t>JÖNKÖPINGS LÄN</t>
        </is>
      </c>
      <c r="G483" t="inlineStr">
        <is>
          <t>VÄRNAMO</t>
        </is>
      </c>
      <c r="H483" t="inlineStr">
        <is>
          <t>Kommuner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46298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46298</v>
      </c>
      <c r="F485" t="inlineStr">
        <is>
          <t>JÖNKÖPINGS LÄN</t>
        </is>
      </c>
      <c r="G485" t="inlineStr">
        <is>
          <t>VÄRNAMO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46298</v>
      </c>
      <c r="F486" t="inlineStr">
        <is>
          <t>JÖNKÖPINGS LÄN</t>
        </is>
      </c>
      <c r="G486" t="inlineStr">
        <is>
          <t>VÄRNAMO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46298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46298</v>
      </c>
      <c r="F488" t="inlineStr">
        <is>
          <t>JÖNKÖPINGS LÄN</t>
        </is>
      </c>
      <c r="G488" t="inlineStr">
        <is>
          <t>VÄRNAMO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46298</v>
      </c>
      <c r="F489" t="inlineStr">
        <is>
          <t>JÖNKÖPINGS LÄN</t>
        </is>
      </c>
      <c r="G489" t="inlineStr">
        <is>
          <t>VÄRNAMO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46298</v>
      </c>
      <c r="F490" t="inlineStr">
        <is>
          <t>JÖNKÖPINGS LÄN</t>
        </is>
      </c>
      <c r="G490" t="inlineStr">
        <is>
          <t>VÄRNAMO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45713</v>
      </c>
      <c r="E491" s="1" t="n">
        <v>46298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46298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11210-2024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45371</v>
      </c>
      <c r="E493" s="1" t="n">
        <v>46298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46298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46298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46298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51294-2023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45219</v>
      </c>
      <c r="E497" s="1" t="n">
        <v>46298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46230</v>
      </c>
      <c r="E498" s="1" t="n">
        <v>46298</v>
      </c>
      <c r="F498" t="inlineStr">
        <is>
          <t>JÖNKÖPINGS LÄN</t>
        </is>
      </c>
      <c r="G498" t="inlineStr">
        <is>
          <t>VÄRNAMO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46230</v>
      </c>
      <c r="E499" s="1" t="n">
        <v>46298</v>
      </c>
      <c r="F499" t="inlineStr">
        <is>
          <t>JÖNKÖPINGS LÄN</t>
        </is>
      </c>
      <c r="G499" t="inlineStr">
        <is>
          <t>VÄRNAMO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45223</v>
      </c>
      <c r="E500" s="1" t="n">
        <v>46298</v>
      </c>
      <c r="F500" t="inlineStr">
        <is>
          <t>JÖNKÖPINGS LÄN</t>
        </is>
      </c>
      <c r="G500" t="inlineStr">
        <is>
          <t>VÄRNAMO</t>
        </is>
      </c>
      <c r="H500" t="inlineStr">
        <is>
          <t>Kyrkan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52156-2023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45224</v>
      </c>
      <c r="E501" s="1" t="n">
        <v>46298</v>
      </c>
      <c r="F501" t="inlineStr">
        <is>
          <t>JÖNKÖPINGS LÄN</t>
        </is>
      </c>
      <c r="G501" t="inlineStr">
        <is>
          <t>VÄRNAMO</t>
        </is>
      </c>
      <c r="H501" t="inlineStr">
        <is>
          <t>Övriga Aktiebolag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46298</v>
      </c>
      <c r="F502" t="inlineStr">
        <is>
          <t>JÖNKÖPINGS LÄN</t>
        </is>
      </c>
      <c r="G502" t="inlineStr">
        <is>
          <t>VÄRNAMO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46298</v>
      </c>
      <c r="F503" t="inlineStr">
        <is>
          <t>JÖNKÖPINGS LÄN</t>
        </is>
      </c>
      <c r="G503" t="inlineStr">
        <is>
          <t>VÄRNAMO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46298</v>
      </c>
      <c r="F504" t="inlineStr">
        <is>
          <t>JÖNKÖPINGS LÄN</t>
        </is>
      </c>
      <c r="G504" t="inlineStr">
        <is>
          <t>VÄRNAMO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46298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46298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46238</v>
      </c>
      <c r="E507" s="1" t="n">
        <v>46298</v>
      </c>
      <c r="F507" t="inlineStr">
        <is>
          <t>JÖNKÖPINGS LÄN</t>
        </is>
      </c>
      <c r="G507" t="inlineStr">
        <is>
          <t>VÄRNAMO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32413-2026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46238</v>
      </c>
      <c r="E508" s="1" t="n">
        <v>46298</v>
      </c>
      <c r="F508" t="inlineStr">
        <is>
          <t>JÖNKÖPINGS LÄN</t>
        </is>
      </c>
      <c r="G508" t="inlineStr">
        <is>
          <t>VÄRNAMO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61503-2021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44501</v>
      </c>
      <c r="E509" s="1" t="n">
        <v>46298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46298</v>
      </c>
      <c r="F510" t="inlineStr">
        <is>
          <t>JÖNKÖPINGS LÄN</t>
        </is>
      </c>
      <c r="G510" t="inlineStr">
        <is>
          <t>VÄRNAMO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45674</v>
      </c>
      <c r="E511" s="1" t="n">
        <v>46298</v>
      </c>
      <c r="F511" t="inlineStr">
        <is>
          <t>JÖNKÖPINGS LÄN</t>
        </is>
      </c>
      <c r="G511" t="inlineStr">
        <is>
          <t>VÄRNAMO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46298</v>
      </c>
      <c r="F512" t="inlineStr">
        <is>
          <t>JÖNKÖPINGS LÄN</t>
        </is>
      </c>
      <c r="G512" t="inlineStr">
        <is>
          <t>VÄRNAMO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46283</v>
      </c>
      <c r="E513" s="1" t="n">
        <v>46298</v>
      </c>
      <c r="F513" t="inlineStr">
        <is>
          <t>JÖNKÖPINGS LÄN</t>
        </is>
      </c>
      <c r="G513" t="inlineStr">
        <is>
          <t>VÄRNAMO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45563</v>
      </c>
      <c r="E514" s="1" t="n">
        <v>46298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44587</v>
      </c>
      <c r="E515" s="1" t="n">
        <v>46298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45243</v>
      </c>
      <c r="E516" s="1" t="n">
        <v>46298</v>
      </c>
      <c r="F516" t="inlineStr">
        <is>
          <t>JÖNKÖPINGS LÄN</t>
        </is>
      </c>
      <c r="G516" t="inlineStr">
        <is>
          <t>VÄRNAMO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45243</v>
      </c>
      <c r="E517" s="1" t="n">
        <v>46298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46298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46298</v>
      </c>
      <c r="F519" t="inlineStr">
        <is>
          <t>JÖNKÖPINGS LÄN</t>
        </is>
      </c>
      <c r="G519" t="inlineStr">
        <is>
          <t>VÄRNAMO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46298</v>
      </c>
      <c r="F520" t="inlineStr">
        <is>
          <t>JÖNKÖPINGS LÄN</t>
        </is>
      </c>
      <c r="G520" t="inlineStr">
        <is>
          <t>VÄRNAMO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74310-2021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44559</v>
      </c>
      <c r="E521" s="1" t="n">
        <v>46298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46282</v>
      </c>
      <c r="E522" s="1" t="n">
        <v>46298</v>
      </c>
      <c r="F522" t="inlineStr">
        <is>
          <t>JÖNKÖPINGS LÄN</t>
        </is>
      </c>
      <c r="G522" t="inlineStr">
        <is>
          <t>VÄRNAMO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46298</v>
      </c>
      <c r="F523" t="inlineStr">
        <is>
          <t>JÖNKÖPINGS LÄN</t>
        </is>
      </c>
      <c r="G523" t="inlineStr">
        <is>
          <t>VÄRNAMO</t>
        </is>
      </c>
      <c r="H523" t="inlineStr">
        <is>
          <t>Kyrkan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46298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46298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46289</v>
      </c>
      <c r="E526" s="1" t="n">
        <v>46298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46288</v>
      </c>
      <c r="E527" s="1" t="n">
        <v>46298</v>
      </c>
      <c r="F527" t="inlineStr">
        <is>
          <t>JÖNKÖPINGS LÄN</t>
        </is>
      </c>
      <c r="G527" t="inlineStr">
        <is>
          <t>VÄRNAMO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46288</v>
      </c>
      <c r="E528" s="1" t="n">
        <v>46298</v>
      </c>
      <c r="F528" t="inlineStr">
        <is>
          <t>JÖNKÖPINGS LÄN</t>
        </is>
      </c>
      <c r="G528" t="inlineStr">
        <is>
          <t>VÄRNAMO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46298</v>
      </c>
      <c r="F529" t="inlineStr">
        <is>
          <t>JÖNKÖPINGS LÄN</t>
        </is>
      </c>
      <c r="G529" t="inlineStr">
        <is>
          <t>VÄRNAMO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46298</v>
      </c>
      <c r="F530" t="inlineStr">
        <is>
          <t>JÖNKÖPINGS LÄN</t>
        </is>
      </c>
      <c r="G530" t="inlineStr">
        <is>
          <t>VÄRNAMO</t>
        </is>
      </c>
      <c r="H530" t="inlineStr">
        <is>
          <t>Kommuner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46867-2023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45200</v>
      </c>
      <c r="E531" s="1" t="n">
        <v>46298</v>
      </c>
      <c r="F531" t="inlineStr">
        <is>
          <t>JÖNKÖPINGS LÄN</t>
        </is>
      </c>
      <c r="G531" t="inlineStr">
        <is>
          <t>VÄRNAMO</t>
        </is>
      </c>
      <c r="H531" t="inlineStr">
        <is>
          <t>Övriga Aktiebolag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46298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46298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44820</v>
      </c>
      <c r="E534" s="1" t="n">
        <v>46298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44825</v>
      </c>
      <c r="E535" s="1" t="n">
        <v>46298</v>
      </c>
      <c r="F535" t="inlineStr">
        <is>
          <t>JÖNKÖPINGS LÄN</t>
        </is>
      </c>
      <c r="G535" t="inlineStr">
        <is>
          <t>VÄRNAMO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45170</v>
      </c>
      <c r="E536" s="1" t="n">
        <v>46298</v>
      </c>
      <c r="F536" t="inlineStr">
        <is>
          <t>JÖNKÖPINGS LÄN</t>
        </is>
      </c>
      <c r="G536" t="inlineStr">
        <is>
          <t>VÄRNAMO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46298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45258</v>
      </c>
      <c r="E538" s="1" t="n">
        <v>46298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46298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45372</v>
      </c>
      <c r="E540" s="1" t="n">
        <v>46298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46298</v>
      </c>
      <c r="F541" t="inlineStr">
        <is>
          <t>JÖNKÖPINGS LÄN</t>
        </is>
      </c>
      <c r="G541" t="inlineStr">
        <is>
          <t>VÄRNAMO</t>
        </is>
      </c>
      <c r="I541" t="n">
        <v>13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46007</v>
      </c>
      <c r="E542" s="1" t="n">
        <v>46298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45406</v>
      </c>
      <c r="E543" s="1" t="n">
        <v>46298</v>
      </c>
      <c r="F543" t="inlineStr">
        <is>
          <t>JÖNKÖPINGS LÄN</t>
        </is>
      </c>
      <c r="G543" t="inlineStr">
        <is>
          <t>VÄRNAMO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46298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46298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46298</v>
      </c>
      <c r="F546" t="inlineStr">
        <is>
          <t>JÖNKÖPINGS LÄN</t>
        </is>
      </c>
      <c r="G546" t="inlineStr">
        <is>
          <t>VÄRNAMO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46298</v>
      </c>
      <c r="F547" t="inlineStr">
        <is>
          <t>JÖNKÖPINGS LÄN</t>
        </is>
      </c>
      <c r="G547" t="inlineStr">
        <is>
          <t>VÄRNAMO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46298</v>
      </c>
      <c r="F548" t="inlineStr">
        <is>
          <t>JÖNKÖPINGS LÄN</t>
        </is>
      </c>
      <c r="G548" t="inlineStr">
        <is>
          <t>VÄRNAMO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33729-2026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46298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40264-2026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46298</v>
      </c>
      <c r="F550" t="inlineStr">
        <is>
          <t>JÖNKÖPINGS LÄN</t>
        </is>
      </c>
      <c r="G550" t="inlineStr">
        <is>
          <t>VÄRNAMO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46298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46298</v>
      </c>
      <c r="F552" t="inlineStr">
        <is>
          <t>JÖNKÖPINGS LÄN</t>
        </is>
      </c>
      <c r="G552" t="inlineStr">
        <is>
          <t>VÄRNAMO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46298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25102-2022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44729</v>
      </c>
      <c r="E554" s="1" t="n">
        <v>46298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44949</v>
      </c>
      <c r="E555" s="1" t="n">
        <v>46298</v>
      </c>
      <c r="F555" t="inlineStr">
        <is>
          <t>JÖNKÖPINGS LÄN</t>
        </is>
      </c>
      <c r="G555" t="inlineStr">
        <is>
          <t>VÄRNAMO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45270</v>
      </c>
      <c r="E556" s="1" t="n">
        <v>46298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44890</v>
      </c>
      <c r="E557" s="1" t="n">
        <v>46298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46298</v>
      </c>
      <c r="F558" t="inlineStr">
        <is>
          <t>JÖNKÖPINGS LÄN</t>
        </is>
      </c>
      <c r="G558" t="inlineStr">
        <is>
          <t>VÄRNAMO</t>
        </is>
      </c>
      <c r="H558" t="inlineStr">
        <is>
          <t>Kommuner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29166-2023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45105</v>
      </c>
      <c r="E559" s="1" t="n">
        <v>46298</v>
      </c>
      <c r="F559" t="inlineStr">
        <is>
          <t>JÖNKÖPINGS LÄN</t>
        </is>
      </c>
      <c r="G559" t="inlineStr">
        <is>
          <t>VÄRNAMO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46298</v>
      </c>
      <c r="F560" t="inlineStr">
        <is>
          <t>JÖNKÖPINGS LÄN</t>
        </is>
      </c>
      <c r="G560" t="inlineStr">
        <is>
          <t>VÄRNAMO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45674</v>
      </c>
      <c r="E561" s="1" t="n">
        <v>46298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45009</v>
      </c>
      <c r="E562" s="1" t="n">
        <v>46298</v>
      </c>
      <c r="F562" t="inlineStr">
        <is>
          <t>JÖNKÖPINGS LÄN</t>
        </is>
      </c>
      <c r="G562" t="inlineStr">
        <is>
          <t>VÄRNAMO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46298</v>
      </c>
      <c r="F563" t="inlineStr">
        <is>
          <t>JÖNKÖPINGS LÄN</t>
        </is>
      </c>
      <c r="G563" t="inlineStr">
        <is>
          <t>VÄRNAMO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40226-2024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45554</v>
      </c>
      <c r="E564" s="1" t="n">
        <v>46298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46298</v>
      </c>
      <c r="F565" t="inlineStr">
        <is>
          <t>JÖNKÖPINGS LÄN</t>
        </is>
      </c>
      <c r="G565" t="inlineStr">
        <is>
          <t>VÄRNAMO</t>
        </is>
      </c>
      <c r="I565" t="n">
        <v>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46298</v>
      </c>
      <c r="F566" t="inlineStr">
        <is>
          <t>JÖNKÖPINGS LÄN</t>
        </is>
      </c>
      <c r="G566" t="inlineStr">
        <is>
          <t>VÄRNAMO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46298</v>
      </c>
      <c r="F567" t="inlineStr">
        <is>
          <t>JÖNKÖPINGS LÄN</t>
        </is>
      </c>
      <c r="G567" t="inlineStr">
        <is>
          <t>VÄRNAMO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46298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46298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44949</v>
      </c>
      <c r="E570" s="1" t="n">
        <v>46298</v>
      </c>
      <c r="F570" t="inlineStr">
        <is>
          <t>JÖNKÖPINGS LÄN</t>
        </is>
      </c>
      <c r="G570" t="inlineStr">
        <is>
          <t>VÄRNAMO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34402-2026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46298</v>
      </c>
      <c r="F571" t="inlineStr">
        <is>
          <t>JÖNKÖPINGS LÄN</t>
        </is>
      </c>
      <c r="G571" t="inlineStr">
        <is>
          <t>VÄRNAMO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46298</v>
      </c>
      <c r="F572" t="inlineStr">
        <is>
          <t>JÖNKÖPINGS LÄN</t>
        </is>
      </c>
      <c r="G572" t="inlineStr">
        <is>
          <t>VÄRNAMO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40777-2024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46298</v>
      </c>
      <c r="F573" t="inlineStr">
        <is>
          <t>JÖNKÖPINGS LÄN</t>
        </is>
      </c>
      <c r="G573" t="inlineStr">
        <is>
          <t>VÄRNAMO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74026-2021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44553</v>
      </c>
      <c r="E574" s="1" t="n">
        <v>46298</v>
      </c>
      <c r="F574" t="inlineStr">
        <is>
          <t>JÖNKÖPINGS LÄN</t>
        </is>
      </c>
      <c r="G574" t="inlineStr">
        <is>
          <t>VÄRNAMO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74027-2021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44553</v>
      </c>
      <c r="E575" s="1" t="n">
        <v>46298</v>
      </c>
      <c r="F575" t="inlineStr">
        <is>
          <t>JÖNKÖPINGS LÄN</t>
        </is>
      </c>
      <c r="G575" t="inlineStr">
        <is>
          <t>VÄRNAMO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46298</v>
      </c>
      <c r="F576" t="inlineStr">
        <is>
          <t>JÖNKÖPINGS LÄN</t>
        </is>
      </c>
      <c r="G576" t="inlineStr">
        <is>
          <t>VÄRNAMO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46298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46298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46298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41316-2023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46298</v>
      </c>
      <c r="F580" t="inlineStr">
        <is>
          <t>JÖNKÖPINGS LÄN</t>
        </is>
      </c>
      <c r="G580" t="inlineStr">
        <is>
          <t>VÄRNAMO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46298</v>
      </c>
      <c r="F581" t="inlineStr">
        <is>
          <t>JÖNKÖPINGS LÄN</t>
        </is>
      </c>
      <c r="G581" t="inlineStr">
        <is>
          <t>VÄRNAMO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46298</v>
      </c>
      <c r="F582" t="inlineStr">
        <is>
          <t>JÖNKÖPINGS LÄN</t>
        </is>
      </c>
      <c r="G582" t="inlineStr">
        <is>
          <t>VÄRNAMO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46298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39656-2023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45167</v>
      </c>
      <c r="E584" s="1" t="n">
        <v>46298</v>
      </c>
      <c r="F584" t="inlineStr">
        <is>
          <t>JÖNKÖPINGS LÄN</t>
        </is>
      </c>
      <c r="G584" t="inlineStr">
        <is>
          <t>VÄRNAMO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45566</v>
      </c>
      <c r="E585" s="1" t="n">
        <v>46298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36729-2022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44805</v>
      </c>
      <c r="E586" s="1" t="n">
        <v>46298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44698</v>
      </c>
      <c r="E587" s="1" t="n">
        <v>46298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44936</v>
      </c>
      <c r="E588" s="1" t="n">
        <v>46298</v>
      </c>
      <c r="F588" t="inlineStr">
        <is>
          <t>JÖNKÖPINGS LÄN</t>
        </is>
      </c>
      <c r="G588" t="inlineStr">
        <is>
          <t>VÄRNAMO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46298</v>
      </c>
      <c r="F589" t="inlineStr">
        <is>
          <t>JÖNKÖPINGS LÄN</t>
        </is>
      </c>
      <c r="G589" t="inlineStr">
        <is>
          <t>VÄRNAMO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64002-2023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45278</v>
      </c>
      <c r="E590" s="1" t="n">
        <v>46298</v>
      </c>
      <c r="F590" t="inlineStr">
        <is>
          <t>JÖNKÖPINGS LÄN</t>
        </is>
      </c>
      <c r="G590" t="inlineStr">
        <is>
          <t>VÄRNAMO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46298</v>
      </c>
      <c r="F591" t="inlineStr">
        <is>
          <t>JÖNKÖPINGS LÄN</t>
        </is>
      </c>
      <c r="G591" t="inlineStr">
        <is>
          <t>VÄRNAMO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45279</v>
      </c>
      <c r="E592" s="1" t="n">
        <v>46298</v>
      </c>
      <c r="F592" t="inlineStr">
        <is>
          <t>JÖNKÖPINGS LÄN</t>
        </is>
      </c>
      <c r="G592" t="inlineStr">
        <is>
          <t>VÄRNAMO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46298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45197</v>
      </c>
      <c r="E594" s="1" t="n">
        <v>46298</v>
      </c>
      <c r="F594" t="inlineStr">
        <is>
          <t>JÖNKÖPINGS LÄN</t>
        </is>
      </c>
      <c r="G594" t="inlineStr">
        <is>
          <t>VÄRNAMO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46471-2023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45197</v>
      </c>
      <c r="E595" s="1" t="n">
        <v>46298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46298</v>
      </c>
      <c r="F596" t="inlineStr">
        <is>
          <t>JÖNKÖPINGS LÄN</t>
        </is>
      </c>
      <c r="G596" t="inlineStr">
        <is>
          <t>VÄRNAMO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62798-2023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46298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45265</v>
      </c>
      <c r="E598" s="1" t="n">
        <v>46298</v>
      </c>
      <c r="F598" t="inlineStr">
        <is>
          <t>JÖNKÖPINGS LÄN</t>
        </is>
      </c>
      <c r="G598" t="inlineStr">
        <is>
          <t>VÄRNAMO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44998</v>
      </c>
      <c r="E599" s="1" t="n">
        <v>46298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46298</v>
      </c>
      <c r="F600" t="inlineStr">
        <is>
          <t>JÖNKÖPINGS LÄN</t>
        </is>
      </c>
      <c r="G600" t="inlineStr">
        <is>
          <t>VÄRNAMO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17464-2023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45036</v>
      </c>
      <c r="E601" s="1" t="n">
        <v>46298</v>
      </c>
      <c r="F601" t="inlineStr">
        <is>
          <t>JÖNKÖPINGS LÄN</t>
        </is>
      </c>
      <c r="G601" t="inlineStr">
        <is>
          <t>VÄRNAMO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46298</v>
      </c>
      <c r="F602" t="inlineStr">
        <is>
          <t>JÖNKÖPINGS LÄN</t>
        </is>
      </c>
      <c r="G602" t="inlineStr">
        <is>
          <t>VÄRNAMO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46298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45589</v>
      </c>
      <c r="E604" s="1" t="n">
        <v>46298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46298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46298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46298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46298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46298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46298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46298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46298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46298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46298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46298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46298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46298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46298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46298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46298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46298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46298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46298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46298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46298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46298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46298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2026-10-03T02:01:10Z</dcterms:created>
  <dcterms:modified xmlns:dcterms="http://purl.org/dc/terms/" xmlns:xsi="http://www.w3.org/2001/XMLSchema-instance" xsi:type="dcterms:W3CDTF">2026-10-03T02:01:11Z</dcterms:modified>
</cp:coreProperties>
</file>