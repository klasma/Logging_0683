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46271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46271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46271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46271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46271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46271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46271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46271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46271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46271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46271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46271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46271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46271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46271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46271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46271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46271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46271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46271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46271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46271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46271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10842-2026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46078</v>
      </c>
      <c r="E30" s="1" t="n">
        <v>46271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Klockgentiana</t>
        </is>
      </c>
      <c r="W30">
        <f>HYPERLINK("https://klasma.github.io/Logging_0683/artfynd/A 10842-2026 artfynd.xlsx", "A 10842-2026")</f>
        <v/>
      </c>
      <c r="X30">
        <f>HYPERLINK("https://klasma.github.io/Logging_0683/kartor/A 10842-2026 karta.png", "A 10842-2026")</f>
        <v/>
      </c>
      <c r="Y30">
        <f>HYPERLINK("https://klasma.github.io/Logging_0683/kartor_geotiff/A 10842-2026 georefererad karta.tif", "A 10842-2026")</f>
        <v/>
      </c>
      <c r="AA30">
        <f>HYPERLINK("https://klasma.github.io/Logging_0683/klagomål/A 10842-2026 FSC-klagomål.docx", "A 10842-2026")</f>
        <v/>
      </c>
      <c r="AB30">
        <f>HYPERLINK("https://klasma.github.io/Logging_0683/klagomålsmail/A 10842-2026 FSC-klagomål mail.docx", "A 10842-2026")</f>
        <v/>
      </c>
      <c r="AC30">
        <f>HYPERLINK("https://klasma.github.io/Logging_0683/tillsyn/A 10842-2026 tillsynsbegäran.docx", "A 10842-2026")</f>
        <v/>
      </c>
      <c r="AD30">
        <f>HYPERLINK("https://klasma.github.io/Logging_0683/tillsynsmail/A 10842-2026 tillsynsbegäran mail.docx", "A 10842-2026")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46271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Lönnsavblomfluga</t>
        </is>
      </c>
      <c r="W31">
        <f>HYPERLINK("https://klasma.github.io/Logging_0683/artfynd/A 9042-2025 artfynd.xlsx", "A 9042-2025")</f>
        <v/>
      </c>
      <c r="X31">
        <f>HYPERLINK("https://klasma.github.io/Logging_0683/kartor/A 9042-2025 karta.png", "A 9042-2025")</f>
        <v/>
      </c>
      <c r="Y31">
        <f>HYPERLINK("https://klasma.github.io/Logging_0683/kartor_geotiff/A 9042-2025 georefererad karta.tif", "A 9042-2025")</f>
        <v/>
      </c>
      <c r="AA31">
        <f>HYPERLINK("https://klasma.github.io/Logging_0683/klagomål/A 9042-2025 FSC-klagomål.docx", "A 9042-2025")</f>
        <v/>
      </c>
      <c r="AB31">
        <f>HYPERLINK("https://klasma.github.io/Logging_0683/klagomålsmail/A 9042-2025 FSC-klagomål mail.docx", "A 9042-2025")</f>
        <v/>
      </c>
      <c r="AC31">
        <f>HYPERLINK("https://klasma.github.io/Logging_0683/tillsyn/A 9042-2025 tillsynsbegäran.docx", "A 9042-2025")</f>
        <v/>
      </c>
      <c r="AD31">
        <f>HYPERLINK("https://klasma.github.io/Logging_0683/tillsynsmail/A 9042-2025 tillsynsbegäran mail.docx", "A 9042-2025")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46271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23920-2026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46271</v>
      </c>
      <c r="F33" t="inlineStr">
        <is>
          <t>JÖNKÖPINGS LÄN</t>
        </is>
      </c>
      <c r="G33" t="inlineStr">
        <is>
          <t>VÄRNAMO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HYPERLINK("https://klasma.github.io/Logging_0683/artfynd/A 23920-2026 artfynd.xlsx", "A 23920-2026")</f>
        <v/>
      </c>
      <c r="X33">
        <f>HYPERLINK("https://klasma.github.io/Logging_0683/kartor/A 23920-2026 karta.png", "A 23920-2026")</f>
        <v/>
      </c>
      <c r="Y33">
        <f>HYPERLINK("https://klasma.github.io/Logging_0683/kartor_geotiff/A 23920-2026 georefererad karta.tif", "A 23920-2026")</f>
        <v/>
      </c>
      <c r="AA33">
        <f>HYPERLINK("https://klasma.github.io/Logging_0683/klagomål/A 23920-2026 FSC-klagomål.docx", "A 23920-2026")</f>
        <v/>
      </c>
      <c r="AB33">
        <f>HYPERLINK("https://klasma.github.io/Logging_0683/klagomålsmail/A 23920-2026 FSC-klagomål mail.docx", "A 23920-2026")</f>
        <v/>
      </c>
      <c r="AC33">
        <f>HYPERLINK("https://klasma.github.io/Logging_0683/tillsyn/A 23920-2026 tillsynsbegäran.docx", "A 23920-2026")</f>
        <v/>
      </c>
      <c r="AD33">
        <f>HYPERLINK("https://klasma.github.io/Logging_0683/tillsynsmail/A 23920-2026 tillsynsbegäran mail.docx", "A 23920-2026")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46271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27295-2026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46271</v>
      </c>
      <c r="F35" t="inlineStr">
        <is>
          <t>JÖNKÖPINGS LÄN</t>
        </is>
      </c>
      <c r="G35" t="inlineStr">
        <is>
          <t>VÄRNAMO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27295-2026 artfynd.xlsx", "A 27295-2026")</f>
        <v/>
      </c>
      <c r="X35">
        <f>HYPERLINK("https://klasma.github.io/Logging_0683/kartor/A 27295-2026 karta.png", "A 27295-2026")</f>
        <v/>
      </c>
      <c r="Y35">
        <f>HYPERLINK("https://klasma.github.io/Logging_0683/kartor_geotiff/A 27295-2026 georefererad karta.tif", "A 27295-2026")</f>
        <v/>
      </c>
      <c r="AA35">
        <f>HYPERLINK("https://klasma.github.io/Logging_0683/klagomål/A 27295-2026 FSC-klagomål.docx", "A 27295-2026")</f>
        <v/>
      </c>
      <c r="AB35">
        <f>HYPERLINK("https://klasma.github.io/Logging_0683/klagomålsmail/A 27295-2026 FSC-klagomål mail.docx", "A 27295-2026")</f>
        <v/>
      </c>
      <c r="AC35">
        <f>HYPERLINK("https://klasma.github.io/Logging_0683/tillsyn/A 27295-2026 tillsynsbegäran.docx", "A 27295-2026")</f>
        <v/>
      </c>
      <c r="AD35">
        <f>HYPERLINK("https://klasma.github.io/Logging_0683/tillsynsmail/A 27295-2026 tillsynsbegäran mail.docx", "A 27295-2026")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46271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28002-2026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46271</v>
      </c>
      <c r="F37" t="inlineStr">
        <is>
          <t>JÖNKÖPINGS LÄN</t>
        </is>
      </c>
      <c r="G37" t="inlineStr">
        <is>
          <t>VÄRNAMO</t>
        </is>
      </c>
      <c r="H37" t="inlineStr">
        <is>
          <t>Sveaskog</t>
        </is>
      </c>
      <c r="I37" t="n">
        <v>26.9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Rostfläck</t>
        </is>
      </c>
      <c r="W37">
        <f>HYPERLINK("https://klasma.github.io/Logging_0683/artfynd/A 28002-2026 artfynd.xlsx", "A 28002-2026")</f>
        <v/>
      </c>
      <c r="X37">
        <f>HYPERLINK("https://klasma.github.io/Logging_0683/kartor/A 28002-2026 karta.png", "A 28002-2026")</f>
        <v/>
      </c>
      <c r="Y37">
        <f>HYPERLINK("https://klasma.github.io/Logging_0683/kartor_geotiff/A 28002-2026 georefererad karta.tif", "A 28002-2026")</f>
        <v/>
      </c>
      <c r="AA37">
        <f>HYPERLINK("https://klasma.github.io/Logging_0683/klagomål/A 28002-2026 FSC-klagomål.docx", "A 28002-2026")</f>
        <v/>
      </c>
      <c r="AB37">
        <f>HYPERLINK("https://klasma.github.io/Logging_0683/klagomålsmail/A 28002-2026 FSC-klagomål mail.docx", "A 28002-2026")</f>
        <v/>
      </c>
      <c r="AC37">
        <f>HYPERLINK("https://klasma.github.io/Logging_0683/tillsyn/A 28002-2026 tillsynsbegäran.docx", "A 28002-2026")</f>
        <v/>
      </c>
      <c r="AD37">
        <f>HYPERLINK("https://klasma.github.io/Logging_0683/tillsynsmail/A 28002-2026 tillsynsbegäran mail.docx", "A 28002-2026")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46271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46271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46271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46271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46271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46271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46271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46271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46271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46271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46271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46271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46271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46271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46271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46271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46271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46271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46271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46271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46271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46271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46271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46271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46271</v>
      </c>
      <c r="F62" t="inlineStr">
        <is>
          <t>JÖNKÖPINGS LÄN</t>
        </is>
      </c>
      <c r="G62" t="inlineStr">
        <is>
          <t>VÄRNAMO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46271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46271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46271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46271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46271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46271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46271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46271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46271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46271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46271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46271</v>
      </c>
      <c r="F74" t="inlineStr">
        <is>
          <t>JÖNKÖPINGS LÄN</t>
        </is>
      </c>
      <c r="G74" t="inlineStr">
        <is>
          <t>VÄRNAMO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46271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46271</v>
      </c>
      <c r="F76" t="inlineStr">
        <is>
          <t>JÖNKÖPINGS LÄN</t>
        </is>
      </c>
      <c r="G76" t="inlineStr">
        <is>
          <t>VÄRNAMO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46271</v>
      </c>
      <c r="F77" t="inlineStr">
        <is>
          <t>JÖNKÖPINGS LÄN</t>
        </is>
      </c>
      <c r="G77" t="inlineStr">
        <is>
          <t>VÄRNAMO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71848-2021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44539</v>
      </c>
      <c r="E78" s="1" t="n">
        <v>46271</v>
      </c>
      <c r="F78" t="inlineStr">
        <is>
          <t>JÖNKÖPINGS LÄN</t>
        </is>
      </c>
      <c r="G78" t="inlineStr">
        <is>
          <t>VÄRNAMO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46271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46271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46271</v>
      </c>
      <c r="F81" t="inlineStr">
        <is>
          <t>JÖNKÖPINGS LÄN</t>
        </is>
      </c>
      <c r="G81" t="inlineStr">
        <is>
          <t>VÄRNAMO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46271</v>
      </c>
      <c r="F82" t="inlineStr">
        <is>
          <t>JÖNKÖPINGS LÄN</t>
        </is>
      </c>
      <c r="G82" t="inlineStr">
        <is>
          <t>VÄRNAMO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46271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47103-2021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44446</v>
      </c>
      <c r="E84" s="1" t="n">
        <v>46271</v>
      </c>
      <c r="F84" t="inlineStr">
        <is>
          <t>JÖNKÖPINGS LÄN</t>
        </is>
      </c>
      <c r="G84" t="inlineStr">
        <is>
          <t>VÄRNAMO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44496</v>
      </c>
      <c r="E85" s="1" t="n">
        <v>46271</v>
      </c>
      <c r="F85" t="inlineStr">
        <is>
          <t>JÖNKÖPINGS LÄN</t>
        </is>
      </c>
      <c r="G85" t="inlineStr">
        <is>
          <t>VÄRNAMO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46271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48131-2021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44449</v>
      </c>
      <c r="E87" s="1" t="n">
        <v>46271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46271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46271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46271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44825</v>
      </c>
      <c r="E91" s="1" t="n">
        <v>46271</v>
      </c>
      <c r="F91" t="inlineStr">
        <is>
          <t>JÖNKÖPINGS LÄN</t>
        </is>
      </c>
      <c r="G91" t="inlineStr">
        <is>
          <t>VÄRNAMO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46271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46271</v>
      </c>
      <c r="F93" t="inlineStr">
        <is>
          <t>JÖNKÖPINGS LÄN</t>
        </is>
      </c>
      <c r="G93" t="inlineStr">
        <is>
          <t>VÄRNAMO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61912-2021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46271</v>
      </c>
      <c r="F94" t="inlineStr">
        <is>
          <t>JÖNKÖPINGS LÄN</t>
        </is>
      </c>
      <c r="G94" t="inlineStr">
        <is>
          <t>VÄRNAMO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46271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9355-2022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44616</v>
      </c>
      <c r="E96" s="1" t="n">
        <v>46271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46271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46271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46271</v>
      </c>
      <c r="F99" t="inlineStr">
        <is>
          <t>JÖNKÖPINGS LÄN</t>
        </is>
      </c>
      <c r="G99" t="inlineStr">
        <is>
          <t>VÄRNAMO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46271</v>
      </c>
      <c r="F100" t="inlineStr">
        <is>
          <t>JÖNKÖPINGS LÄN</t>
        </is>
      </c>
      <c r="G100" t="inlineStr">
        <is>
          <t>VÄRNAMO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46271</v>
      </c>
      <c r="F101" t="inlineStr">
        <is>
          <t>JÖNKÖPINGS LÄN</t>
        </is>
      </c>
      <c r="G101" t="inlineStr">
        <is>
          <t>VÄRNAMO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46271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46271</v>
      </c>
      <c r="F103" t="inlineStr">
        <is>
          <t>JÖNKÖPINGS LÄN</t>
        </is>
      </c>
      <c r="G103" t="inlineStr">
        <is>
          <t>VÄRNAMO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24702-2022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44727</v>
      </c>
      <c r="E104" s="1" t="n">
        <v>46271</v>
      </c>
      <c r="F104" t="inlineStr">
        <is>
          <t>JÖNKÖPINGS LÄN</t>
        </is>
      </c>
      <c r="G104" t="inlineStr">
        <is>
          <t>VÄRNAMO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46271</v>
      </c>
      <c r="F105" t="inlineStr">
        <is>
          <t>JÖNKÖPINGS LÄN</t>
        </is>
      </c>
      <c r="G105" t="inlineStr">
        <is>
          <t>VÄRNAMO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46271</v>
      </c>
      <c r="F106" t="inlineStr">
        <is>
          <t>JÖNKÖPINGS LÄN</t>
        </is>
      </c>
      <c r="G106" t="inlineStr">
        <is>
          <t>VÄRNAMO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45166</v>
      </c>
      <c r="E107" s="1" t="n">
        <v>46271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46271</v>
      </c>
      <c r="F108" t="inlineStr">
        <is>
          <t>JÖNKÖPINGS LÄN</t>
        </is>
      </c>
      <c r="G108" t="inlineStr">
        <is>
          <t>VÄRNAMO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46271</v>
      </c>
      <c r="F109" t="inlineStr">
        <is>
          <t>JÖNKÖPINGS LÄN</t>
        </is>
      </c>
      <c r="G109" t="inlineStr">
        <is>
          <t>VÄRNAMO</t>
        </is>
      </c>
      <c r="H109" t="inlineStr">
        <is>
          <t>Kommuner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45567</v>
      </c>
      <c r="E110" s="1" t="n">
        <v>46271</v>
      </c>
      <c r="F110" t="inlineStr">
        <is>
          <t>JÖNKÖPINGS LÄN</t>
        </is>
      </c>
      <c r="G110" t="inlineStr">
        <is>
          <t>VÄRNAMO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46271</v>
      </c>
      <c r="F111" t="inlineStr">
        <is>
          <t>JÖNKÖPINGS LÄN</t>
        </is>
      </c>
      <c r="G111" t="inlineStr">
        <is>
          <t>VÄRNAMO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46271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46271</v>
      </c>
      <c r="F113" t="inlineStr">
        <is>
          <t>JÖNKÖPINGS LÄN</t>
        </is>
      </c>
      <c r="G113" t="inlineStr">
        <is>
          <t>VÄRNAMO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46271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46271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44869</v>
      </c>
      <c r="E116" s="1" t="n">
        <v>46271</v>
      </c>
      <c r="F116" t="inlineStr">
        <is>
          <t>JÖNKÖPINGS LÄN</t>
        </is>
      </c>
      <c r="G116" t="inlineStr">
        <is>
          <t>VÄRNAMO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45394</v>
      </c>
      <c r="E117" s="1" t="n">
        <v>46271</v>
      </c>
      <c r="F117" t="inlineStr">
        <is>
          <t>JÖNKÖPINGS LÄN</t>
        </is>
      </c>
      <c r="G117" t="inlineStr">
        <is>
          <t>VÄRNAMO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45772</v>
      </c>
      <c r="E118" s="1" t="n">
        <v>46271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46271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46271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45142</v>
      </c>
      <c r="E121" s="1" t="n">
        <v>46271</v>
      </c>
      <c r="F121" t="inlineStr">
        <is>
          <t>JÖNKÖPINGS LÄN</t>
        </is>
      </c>
      <c r="G121" t="inlineStr">
        <is>
          <t>VÄRNAMO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46271</v>
      </c>
      <c r="F122" t="inlineStr">
        <is>
          <t>JÖNKÖPINGS LÄN</t>
        </is>
      </c>
      <c r="G122" t="inlineStr">
        <is>
          <t>VÄRNAMO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46271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45019</v>
      </c>
      <c r="E124" s="1" t="n">
        <v>46271</v>
      </c>
      <c r="F124" t="inlineStr">
        <is>
          <t>JÖNKÖPINGS LÄN</t>
        </is>
      </c>
      <c r="G124" t="inlineStr">
        <is>
          <t>VÄRNAMO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46271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46271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46271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46271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19229-2025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46271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46271</v>
      </c>
      <c r="F130" t="inlineStr">
        <is>
          <t>JÖNKÖPINGS LÄN</t>
        </is>
      </c>
      <c r="G130" t="inlineStr">
        <is>
          <t>VÄRNAMO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44887</v>
      </c>
      <c r="E131" s="1" t="n">
        <v>46271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46271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40847-2024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46271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46271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46271</v>
      </c>
      <c r="F135" t="inlineStr">
        <is>
          <t>JÖNKÖPINGS LÄN</t>
        </is>
      </c>
      <c r="G135" t="inlineStr">
        <is>
          <t>VÄRNAMO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29382-2024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45483</v>
      </c>
      <c r="E136" s="1" t="n">
        <v>46271</v>
      </c>
      <c r="F136" t="inlineStr">
        <is>
          <t>JÖNKÖPINGS LÄN</t>
        </is>
      </c>
      <c r="G136" t="inlineStr">
        <is>
          <t>VÄRNAMO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45161</v>
      </c>
      <c r="E137" s="1" t="n">
        <v>46271</v>
      </c>
      <c r="F137" t="inlineStr">
        <is>
          <t>JÖNKÖPINGS LÄN</t>
        </is>
      </c>
      <c r="G137" t="inlineStr">
        <is>
          <t>VÄRNAMO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46271</v>
      </c>
      <c r="F138" t="inlineStr">
        <is>
          <t>JÖNKÖPINGS LÄN</t>
        </is>
      </c>
      <c r="G138" t="inlineStr">
        <is>
          <t>VÄRNAMO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46271</v>
      </c>
      <c r="F139" t="inlineStr">
        <is>
          <t>JÖNKÖPINGS LÄN</t>
        </is>
      </c>
      <c r="G139" t="inlineStr">
        <is>
          <t>VÄRNAMO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46271</v>
      </c>
      <c r="F140" t="inlineStr">
        <is>
          <t>JÖNKÖPINGS LÄN</t>
        </is>
      </c>
      <c r="G140" t="inlineStr">
        <is>
          <t>VÄRNAMO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46271</v>
      </c>
      <c r="F141" t="inlineStr">
        <is>
          <t>JÖNKÖPINGS LÄN</t>
        </is>
      </c>
      <c r="G141" t="inlineStr">
        <is>
          <t>VÄRNAMO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46271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45200</v>
      </c>
      <c r="E143" s="1" t="n">
        <v>46271</v>
      </c>
      <c r="F143" t="inlineStr">
        <is>
          <t>JÖNKÖPINGS LÄN</t>
        </is>
      </c>
      <c r="G143" t="inlineStr">
        <is>
          <t>VÄRNAMO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46271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46271</v>
      </c>
      <c r="F145" t="inlineStr">
        <is>
          <t>JÖNKÖPINGS LÄN</t>
        </is>
      </c>
      <c r="G145" t="inlineStr">
        <is>
          <t>VÄRNAMO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46271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46271</v>
      </c>
      <c r="F147" t="inlineStr">
        <is>
          <t>JÖNKÖPINGS LÄN</t>
        </is>
      </c>
      <c r="G147" t="inlineStr">
        <is>
          <t>VÄRNAMO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44909</v>
      </c>
      <c r="E148" s="1" t="n">
        <v>46271</v>
      </c>
      <c r="F148" t="inlineStr">
        <is>
          <t>JÖNKÖPINGS LÄN</t>
        </is>
      </c>
      <c r="G148" t="inlineStr">
        <is>
          <t>VÄRNAMO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46271</v>
      </c>
      <c r="F149" t="inlineStr">
        <is>
          <t>JÖNKÖPINGS LÄN</t>
        </is>
      </c>
      <c r="G149" t="inlineStr">
        <is>
          <t>VÄRNAMO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46271</v>
      </c>
      <c r="F150" t="inlineStr">
        <is>
          <t>JÖNKÖPINGS LÄN</t>
        </is>
      </c>
      <c r="G150" t="inlineStr">
        <is>
          <t>VÄRNAMO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46271</v>
      </c>
      <c r="F151" t="inlineStr">
        <is>
          <t>JÖNKÖPINGS LÄN</t>
        </is>
      </c>
      <c r="G151" t="inlineStr">
        <is>
          <t>VÄRNAMO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46271</v>
      </c>
      <c r="F152" t="inlineStr">
        <is>
          <t>JÖNKÖPINGS LÄN</t>
        </is>
      </c>
      <c r="G152" t="inlineStr">
        <is>
          <t>VÄRNAMO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46271</v>
      </c>
      <c r="F153" t="inlineStr">
        <is>
          <t>JÖNKÖPINGS LÄN</t>
        </is>
      </c>
      <c r="G153" t="inlineStr">
        <is>
          <t>VÄRNAMO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45439</v>
      </c>
      <c r="E154" s="1" t="n">
        <v>46271</v>
      </c>
      <c r="F154" t="inlineStr">
        <is>
          <t>JÖNKÖPINGS LÄN</t>
        </is>
      </c>
      <c r="G154" t="inlineStr">
        <is>
          <t>VÄRNAMO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44981</v>
      </c>
      <c r="E155" s="1" t="n">
        <v>46271</v>
      </c>
      <c r="F155" t="inlineStr">
        <is>
          <t>JÖNKÖPINGS LÄN</t>
        </is>
      </c>
      <c r="G155" t="inlineStr">
        <is>
          <t>VÄRNAMO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45853</v>
      </c>
      <c r="E156" s="1" t="n">
        <v>46271</v>
      </c>
      <c r="F156" t="inlineStr">
        <is>
          <t>JÖNKÖPINGS LÄN</t>
        </is>
      </c>
      <c r="G156" t="inlineStr">
        <is>
          <t>VÄRNAMO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46271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46271</v>
      </c>
      <c r="F158" t="inlineStr">
        <is>
          <t>JÖNKÖPINGS LÄN</t>
        </is>
      </c>
      <c r="G158" t="inlineStr">
        <is>
          <t>VÄRNAMO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46271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46271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46271</v>
      </c>
      <c r="F161" t="inlineStr">
        <is>
          <t>JÖNKÖPINGS LÄN</t>
        </is>
      </c>
      <c r="G161" t="inlineStr">
        <is>
          <t>VÄRNAMO</t>
        </is>
      </c>
      <c r="I161" t="n">
        <v>12.6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46271</v>
      </c>
      <c r="F162" t="inlineStr">
        <is>
          <t>JÖNKÖPINGS LÄN</t>
        </is>
      </c>
      <c r="G162" t="inlineStr">
        <is>
          <t>VÄRNAMO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46271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46271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46029</v>
      </c>
      <c r="E165" s="1" t="n">
        <v>46271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46271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46271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45649</v>
      </c>
      <c r="E168" s="1" t="n">
        <v>46271</v>
      </c>
      <c r="F168" t="inlineStr">
        <is>
          <t>JÖNKÖPINGS LÄN</t>
        </is>
      </c>
      <c r="G168" t="inlineStr">
        <is>
          <t>VÄRNAMO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45853</v>
      </c>
      <c r="E169" s="1" t="n">
        <v>46271</v>
      </c>
      <c r="F169" t="inlineStr">
        <is>
          <t>JÖNKÖPINGS LÄN</t>
        </is>
      </c>
      <c r="G169" t="inlineStr">
        <is>
          <t>VÄRNAMO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46271</v>
      </c>
      <c r="F170" t="inlineStr">
        <is>
          <t>JÖNKÖPINGS LÄN</t>
        </is>
      </c>
      <c r="G170" t="inlineStr">
        <is>
          <t>VÄRNAMO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46271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46271</v>
      </c>
      <c r="F172" t="inlineStr">
        <is>
          <t>JÖNKÖPINGS LÄN</t>
        </is>
      </c>
      <c r="G172" t="inlineStr">
        <is>
          <t>VÄRNAMO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46271</v>
      </c>
      <c r="F173" t="inlineStr">
        <is>
          <t>JÖNKÖPINGS LÄN</t>
        </is>
      </c>
      <c r="G173" t="inlineStr">
        <is>
          <t>VÄRNAMO</t>
        </is>
      </c>
      <c r="H173" t="inlineStr">
        <is>
          <t>Kyrkan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46271</v>
      </c>
      <c r="F174" t="inlineStr">
        <is>
          <t>JÖNKÖPINGS LÄN</t>
        </is>
      </c>
      <c r="G174" t="inlineStr">
        <is>
          <t>VÄRNAMO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46271</v>
      </c>
      <c r="F175" t="inlineStr">
        <is>
          <t>JÖNKÖPINGS LÄN</t>
        </is>
      </c>
      <c r="G175" t="inlineStr">
        <is>
          <t>VÄRNAMO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46271</v>
      </c>
      <c r="F176" t="inlineStr">
        <is>
          <t>JÖNKÖPINGS LÄN</t>
        </is>
      </c>
      <c r="G176" t="inlineStr">
        <is>
          <t>VÄRNAMO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46271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46271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45827</v>
      </c>
      <c r="E179" s="1" t="n">
        <v>46271</v>
      </c>
      <c r="F179" t="inlineStr">
        <is>
          <t>JÖNKÖPINGS LÄN</t>
        </is>
      </c>
      <c r="G179" t="inlineStr">
        <is>
          <t>VÄRNAMO</t>
        </is>
      </c>
      <c r="H179" t="inlineStr">
        <is>
          <t>Sveaskog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46271</v>
      </c>
      <c r="F180" t="inlineStr">
        <is>
          <t>JÖNKÖPINGS LÄN</t>
        </is>
      </c>
      <c r="G180" t="inlineStr">
        <is>
          <t>VÄRNAMO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46271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46271</v>
      </c>
      <c r="F182" t="inlineStr">
        <is>
          <t>JÖNKÖPINGS LÄN</t>
        </is>
      </c>
      <c r="G182" t="inlineStr">
        <is>
          <t>VÄRNAMO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46271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45221</v>
      </c>
      <c r="E184" s="1" t="n">
        <v>46271</v>
      </c>
      <c r="F184" t="inlineStr">
        <is>
          <t>JÖNKÖPINGS LÄN</t>
        </is>
      </c>
      <c r="G184" t="inlineStr">
        <is>
          <t>VÄRNAMO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46271</v>
      </c>
      <c r="F185" t="inlineStr">
        <is>
          <t>JÖNKÖPINGS LÄN</t>
        </is>
      </c>
      <c r="G185" t="inlineStr">
        <is>
          <t>VÄRNAMO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46271</v>
      </c>
      <c r="F186" t="inlineStr">
        <is>
          <t>JÖNKÖPINGS LÄN</t>
        </is>
      </c>
      <c r="G186" t="inlineStr">
        <is>
          <t>VÄRNAMO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46271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46271</v>
      </c>
      <c r="F188" t="inlineStr">
        <is>
          <t>JÖNKÖPINGS LÄN</t>
        </is>
      </c>
      <c r="G188" t="inlineStr">
        <is>
          <t>VÄRNAMO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46271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46271</v>
      </c>
      <c r="F190" t="inlineStr">
        <is>
          <t>JÖNKÖPINGS LÄN</t>
        </is>
      </c>
      <c r="G190" t="inlineStr">
        <is>
          <t>VÄRNAMO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46271</v>
      </c>
      <c r="F191" t="inlineStr">
        <is>
          <t>JÖNKÖPINGS LÄN</t>
        </is>
      </c>
      <c r="G191" t="inlineStr">
        <is>
          <t>VÄRNAMO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45446</v>
      </c>
      <c r="E192" s="1" t="n">
        <v>46271</v>
      </c>
      <c r="F192" t="inlineStr">
        <is>
          <t>JÖNKÖPINGS LÄN</t>
        </is>
      </c>
      <c r="G192" t="inlineStr">
        <is>
          <t>VÄRNAMO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46271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46271</v>
      </c>
      <c r="F194" t="inlineStr">
        <is>
          <t>JÖNKÖPINGS LÄN</t>
        </is>
      </c>
      <c r="G194" t="inlineStr">
        <is>
          <t>VÄRNAMO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46271</v>
      </c>
      <c r="F195" t="inlineStr">
        <is>
          <t>JÖNKÖPINGS LÄN</t>
        </is>
      </c>
      <c r="G195" t="inlineStr">
        <is>
          <t>VÄRNAMO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44956</v>
      </c>
      <c r="E196" s="1" t="n">
        <v>46271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46271</v>
      </c>
      <c r="F197" t="inlineStr">
        <is>
          <t>JÖNKÖPINGS LÄN</t>
        </is>
      </c>
      <c r="G197" t="inlineStr">
        <is>
          <t>VÄRNAMO</t>
        </is>
      </c>
      <c r="H197" t="inlineStr">
        <is>
          <t>Kommuner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45203</v>
      </c>
      <c r="E198" s="1" t="n">
        <v>46271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46271</v>
      </c>
      <c r="F199" t="inlineStr">
        <is>
          <t>JÖNKÖPINGS LÄN</t>
        </is>
      </c>
      <c r="G199" t="inlineStr">
        <is>
          <t>VÄRNAMO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46271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46271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46271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46271</v>
      </c>
      <c r="F203" t="inlineStr">
        <is>
          <t>JÖNKÖPINGS LÄN</t>
        </is>
      </c>
      <c r="G203" t="inlineStr">
        <is>
          <t>VÄRNAMO</t>
        </is>
      </c>
      <c r="H203" t="inlineStr">
        <is>
          <t>Övriga Aktiebolag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46271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46271</v>
      </c>
      <c r="F205" t="inlineStr">
        <is>
          <t>JÖNKÖPINGS LÄN</t>
        </is>
      </c>
      <c r="G205" t="inlineStr">
        <is>
          <t>VÄRNAMO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46271</v>
      </c>
      <c r="F206" t="inlineStr">
        <is>
          <t>JÖNKÖPINGS LÄN</t>
        </is>
      </c>
      <c r="G206" t="inlineStr">
        <is>
          <t>VÄRNAMO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46271</v>
      </c>
      <c r="F207" t="inlineStr">
        <is>
          <t>JÖNKÖPINGS LÄN</t>
        </is>
      </c>
      <c r="G207" t="inlineStr">
        <is>
          <t>VÄRNAMO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46271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46271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46271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44577</v>
      </c>
      <c r="E211" s="1" t="n">
        <v>46271</v>
      </c>
      <c r="F211" t="inlineStr">
        <is>
          <t>JÖNKÖPINGS LÄN</t>
        </is>
      </c>
      <c r="G211" t="inlineStr">
        <is>
          <t>VÄRNAMO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46271</v>
      </c>
      <c r="F212" t="inlineStr">
        <is>
          <t>JÖNKÖPINGS LÄN</t>
        </is>
      </c>
      <c r="G212" t="inlineStr">
        <is>
          <t>VÄRNAMO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46271</v>
      </c>
      <c r="F213" t="inlineStr">
        <is>
          <t>JÖNKÖPINGS LÄN</t>
        </is>
      </c>
      <c r="G213" t="inlineStr">
        <is>
          <t>VÄRNAMO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46271</v>
      </c>
      <c r="F214" t="inlineStr">
        <is>
          <t>JÖNKÖPINGS LÄN</t>
        </is>
      </c>
      <c r="G214" t="inlineStr">
        <is>
          <t>VÄRNAMO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46271</v>
      </c>
      <c r="F215" t="inlineStr">
        <is>
          <t>JÖNKÖPINGS LÄN</t>
        </is>
      </c>
      <c r="G215" t="inlineStr">
        <is>
          <t>VÄRNAMO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46271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46271</v>
      </c>
      <c r="F217" t="inlineStr">
        <is>
          <t>JÖNKÖPINGS LÄN</t>
        </is>
      </c>
      <c r="G217" t="inlineStr">
        <is>
          <t>VÄRNAMO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44566</v>
      </c>
      <c r="E218" s="1" t="n">
        <v>46271</v>
      </c>
      <c r="F218" t="inlineStr">
        <is>
          <t>JÖNKÖPINGS LÄN</t>
        </is>
      </c>
      <c r="G218" t="inlineStr">
        <is>
          <t>VÄRNAMO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46271</v>
      </c>
      <c r="F219" t="inlineStr">
        <is>
          <t>JÖNKÖPINGS LÄN</t>
        </is>
      </c>
      <c r="G219" t="inlineStr">
        <is>
          <t>VÄRNAMO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24703-2022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44727</v>
      </c>
      <c r="E220" s="1" t="n">
        <v>46271</v>
      </c>
      <c r="F220" t="inlineStr">
        <is>
          <t>JÖNKÖPINGS LÄN</t>
        </is>
      </c>
      <c r="G220" t="inlineStr">
        <is>
          <t>VÄRNAMO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46271</v>
      </c>
      <c r="F221" t="inlineStr">
        <is>
          <t>JÖNKÖPINGS LÄN</t>
        </is>
      </c>
      <c r="G221" t="inlineStr">
        <is>
          <t>VÄRNAMO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46271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46271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46271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46271</v>
      </c>
      <c r="F225" t="inlineStr">
        <is>
          <t>JÖNKÖPINGS LÄN</t>
        </is>
      </c>
      <c r="G225" t="inlineStr">
        <is>
          <t>VÄRNAMO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46271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62276-2023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45267</v>
      </c>
      <c r="E227" s="1" t="n">
        <v>46271</v>
      </c>
      <c r="F227" t="inlineStr">
        <is>
          <t>JÖNKÖPINGS LÄN</t>
        </is>
      </c>
      <c r="G227" t="inlineStr">
        <is>
          <t>VÄRNAMO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46271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45853</v>
      </c>
      <c r="E229" s="1" t="n">
        <v>46271</v>
      </c>
      <c r="F229" t="inlineStr">
        <is>
          <t>JÖNKÖPINGS LÄN</t>
        </is>
      </c>
      <c r="G229" t="inlineStr">
        <is>
          <t>VÄRNAMO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46271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46271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46271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46271</v>
      </c>
      <c r="F233" t="inlineStr">
        <is>
          <t>JÖNKÖPINGS LÄN</t>
        </is>
      </c>
      <c r="G233" t="inlineStr">
        <is>
          <t>VÄRNAMO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46271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46271</v>
      </c>
      <c r="F235" t="inlineStr">
        <is>
          <t>JÖNKÖPINGS LÄN</t>
        </is>
      </c>
      <c r="G235" t="inlineStr">
        <is>
          <t>VÄRNAMO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46271</v>
      </c>
      <c r="F236" t="inlineStr">
        <is>
          <t>JÖNKÖPINGS LÄN</t>
        </is>
      </c>
      <c r="G236" t="inlineStr">
        <is>
          <t>VÄRNAMO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46271</v>
      </c>
      <c r="F237" t="inlineStr">
        <is>
          <t>JÖNKÖPINGS LÄN</t>
        </is>
      </c>
      <c r="G237" t="inlineStr">
        <is>
          <t>VÄRNAMO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46271</v>
      </c>
      <c r="F238" t="inlineStr">
        <is>
          <t>JÖNKÖPINGS LÄN</t>
        </is>
      </c>
      <c r="G238" t="inlineStr">
        <is>
          <t>VÄRNAMO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45802</v>
      </c>
      <c r="E239" s="1" t="n">
        <v>46271</v>
      </c>
      <c r="F239" t="inlineStr">
        <is>
          <t>JÖNKÖPINGS LÄN</t>
        </is>
      </c>
      <c r="G239" t="inlineStr">
        <is>
          <t>VÄRNAMO</t>
        </is>
      </c>
      <c r="H239" t="inlineStr">
        <is>
          <t>Övriga Aktiebolag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46271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46271</v>
      </c>
      <c r="F241" t="inlineStr">
        <is>
          <t>JÖNKÖPINGS LÄN</t>
        </is>
      </c>
      <c r="G241" t="inlineStr">
        <is>
          <t>VÄRNAMO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46271</v>
      </c>
      <c r="F242" t="inlineStr">
        <is>
          <t>JÖNKÖPINGS LÄN</t>
        </is>
      </c>
      <c r="G242" t="inlineStr">
        <is>
          <t>VÄRNAMO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46271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46271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46271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46271</v>
      </c>
      <c r="F246" t="inlineStr">
        <is>
          <t>JÖNKÖPINGS LÄN</t>
        </is>
      </c>
      <c r="G246" t="inlineStr">
        <is>
          <t>VÄRNAMO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46271</v>
      </c>
      <c r="F247" t="inlineStr">
        <is>
          <t>JÖNKÖPINGS LÄN</t>
        </is>
      </c>
      <c r="G247" t="inlineStr">
        <is>
          <t>VÄRNAMO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45959</v>
      </c>
      <c r="E248" s="1" t="n">
        <v>46271</v>
      </c>
      <c r="F248" t="inlineStr">
        <is>
          <t>JÖNKÖPINGS LÄN</t>
        </is>
      </c>
      <c r="G248" t="inlineStr">
        <is>
          <t>VÄRNAMO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46271</v>
      </c>
      <c r="F249" t="inlineStr">
        <is>
          <t>JÖNKÖPINGS LÄN</t>
        </is>
      </c>
      <c r="G249" t="inlineStr">
        <is>
          <t>VÄRNAMO</t>
        </is>
      </c>
      <c r="I249" t="n">
        <v>14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46271</v>
      </c>
      <c r="F250" t="inlineStr">
        <is>
          <t>JÖNKÖPINGS LÄN</t>
        </is>
      </c>
      <c r="G250" t="inlineStr">
        <is>
          <t>VÄRNAMO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46271</v>
      </c>
      <c r="F251" t="inlineStr">
        <is>
          <t>JÖNKÖPINGS LÄN</t>
        </is>
      </c>
      <c r="G251" t="inlineStr">
        <is>
          <t>VÄRNAMO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46271</v>
      </c>
      <c r="F252" t="inlineStr">
        <is>
          <t>JÖNKÖPINGS LÄN</t>
        </is>
      </c>
      <c r="G252" t="inlineStr">
        <is>
          <t>VÄRNAMO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46271</v>
      </c>
      <c r="F253" t="inlineStr">
        <is>
          <t>JÖNKÖPINGS LÄN</t>
        </is>
      </c>
      <c r="G253" t="inlineStr">
        <is>
          <t>VÄRNAMO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46271</v>
      </c>
      <c r="F254" t="inlineStr">
        <is>
          <t>JÖNKÖPINGS LÄN</t>
        </is>
      </c>
      <c r="G254" t="inlineStr">
        <is>
          <t>VÄRNAMO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46045</v>
      </c>
      <c r="E255" s="1" t="n">
        <v>46271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46271</v>
      </c>
      <c r="F256" t="inlineStr">
        <is>
          <t>JÖNKÖPINGS LÄN</t>
        </is>
      </c>
      <c r="G256" t="inlineStr">
        <is>
          <t>VÄRNAMO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45324</v>
      </c>
      <c r="E257" s="1" t="n">
        <v>46271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46271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46271</v>
      </c>
      <c r="F259" t="inlineStr">
        <is>
          <t>JÖNKÖPINGS LÄN</t>
        </is>
      </c>
      <c r="G259" t="inlineStr">
        <is>
          <t>VÄRNAMO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46271</v>
      </c>
      <c r="F260" t="inlineStr">
        <is>
          <t>JÖNKÖPINGS LÄN</t>
        </is>
      </c>
      <c r="G260" t="inlineStr">
        <is>
          <t>VÄRNAMO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46271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46271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46050</v>
      </c>
      <c r="E263" s="1" t="n">
        <v>46271</v>
      </c>
      <c r="F263" t="inlineStr">
        <is>
          <t>JÖNKÖPINGS LÄN</t>
        </is>
      </c>
      <c r="G263" t="inlineStr">
        <is>
          <t>VÄRNAMO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46271</v>
      </c>
      <c r="F264" t="inlineStr">
        <is>
          <t>JÖNKÖPINGS LÄN</t>
        </is>
      </c>
      <c r="G264" t="inlineStr">
        <is>
          <t>VÄRNAMO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46271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46271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46271</v>
      </c>
      <c r="F267" t="inlineStr">
        <is>
          <t>JÖNKÖPINGS LÄN</t>
        </is>
      </c>
      <c r="G267" t="inlineStr">
        <is>
          <t>VÄRNAMO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46271</v>
      </c>
      <c r="F268" t="inlineStr">
        <is>
          <t>JÖNKÖPINGS LÄN</t>
        </is>
      </c>
      <c r="G268" t="inlineStr">
        <is>
          <t>VÄRNAMO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59757-2021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46271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46271</v>
      </c>
      <c r="F270" t="inlineStr">
        <is>
          <t>JÖNKÖPINGS LÄN</t>
        </is>
      </c>
      <c r="G270" t="inlineStr">
        <is>
          <t>VÄRNAMO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46271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47968-2022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44853</v>
      </c>
      <c r="E272" s="1" t="n">
        <v>46271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47987-2022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44853</v>
      </c>
      <c r="E273" s="1" t="n">
        <v>46271</v>
      </c>
      <c r="F273" t="inlineStr">
        <is>
          <t>JÖNKÖPINGS LÄN</t>
        </is>
      </c>
      <c r="G273" t="inlineStr">
        <is>
          <t>VÄRNAMO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46271</v>
      </c>
      <c r="F274" t="inlineStr">
        <is>
          <t>JÖNKÖPINGS LÄN</t>
        </is>
      </c>
      <c r="G274" t="inlineStr">
        <is>
          <t>VÄRNAMO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46271</v>
      </c>
      <c r="F275" t="inlineStr">
        <is>
          <t>JÖNKÖPINGS LÄN</t>
        </is>
      </c>
      <c r="G275" t="inlineStr">
        <is>
          <t>VÄRNAMO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46271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46271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46271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46271</v>
      </c>
      <c r="F279" t="inlineStr">
        <is>
          <t>JÖNKÖPINGS LÄN</t>
        </is>
      </c>
      <c r="G279" t="inlineStr">
        <is>
          <t>VÄRNAMO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54000-2021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44470</v>
      </c>
      <c r="E280" s="1" t="n">
        <v>46271</v>
      </c>
      <c r="F280" t="inlineStr">
        <is>
          <t>JÖNKÖPINGS LÄN</t>
        </is>
      </c>
      <c r="G280" t="inlineStr">
        <is>
          <t>VÄRNAMO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46271</v>
      </c>
      <c r="F281" t="inlineStr">
        <is>
          <t>JÖNKÖPINGS LÄN</t>
        </is>
      </c>
      <c r="G281" t="inlineStr">
        <is>
          <t>VÄRNAMO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46271</v>
      </c>
      <c r="F282" t="inlineStr">
        <is>
          <t>JÖNKÖPINGS LÄN</t>
        </is>
      </c>
      <c r="G282" t="inlineStr">
        <is>
          <t>VÄRNAMO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46271</v>
      </c>
      <c r="F283" t="inlineStr">
        <is>
          <t>JÖNKÖPINGS LÄN</t>
        </is>
      </c>
      <c r="G283" t="inlineStr">
        <is>
          <t>VÄRNAMO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46271</v>
      </c>
      <c r="F284" t="inlineStr">
        <is>
          <t>JÖNKÖPINGS LÄN</t>
        </is>
      </c>
      <c r="G284" t="inlineStr">
        <is>
          <t>VÄRNAMO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46271</v>
      </c>
      <c r="F285" t="inlineStr">
        <is>
          <t>JÖNKÖPINGS LÄN</t>
        </is>
      </c>
      <c r="G285" t="inlineStr">
        <is>
          <t>VÄRNAMO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46271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46062</v>
      </c>
      <c r="E287" s="1" t="n">
        <v>46271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46271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46271</v>
      </c>
      <c r="F289" t="inlineStr">
        <is>
          <t>JÖNKÖPINGS LÄN</t>
        </is>
      </c>
      <c r="G289" t="inlineStr">
        <is>
          <t>VÄRNAMO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46271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46271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46271</v>
      </c>
      <c r="F292" t="inlineStr">
        <is>
          <t>JÖNKÖPINGS LÄN</t>
        </is>
      </c>
      <c r="G292" t="inlineStr">
        <is>
          <t>VÄRNAMO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46271</v>
      </c>
      <c r="F293" t="inlineStr">
        <is>
          <t>JÖNKÖPINGS LÄN</t>
        </is>
      </c>
      <c r="G293" t="inlineStr">
        <is>
          <t>VÄRNAMO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46271</v>
      </c>
      <c r="F294" t="inlineStr">
        <is>
          <t>JÖNKÖPINGS LÄN</t>
        </is>
      </c>
      <c r="G294" t="inlineStr">
        <is>
          <t>VÄRNAMO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46271</v>
      </c>
      <c r="F295" t="inlineStr">
        <is>
          <t>JÖNKÖPINGS LÄN</t>
        </is>
      </c>
      <c r="G295" t="inlineStr">
        <is>
          <t>VÄRNAMO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46271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40486-2022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44823</v>
      </c>
      <c r="E297" s="1" t="n">
        <v>46271</v>
      </c>
      <c r="F297" t="inlineStr">
        <is>
          <t>JÖNKÖPINGS LÄN</t>
        </is>
      </c>
      <c r="G297" t="inlineStr">
        <is>
          <t>VÄRNAMO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46271</v>
      </c>
      <c r="F298" t="inlineStr">
        <is>
          <t>JÖNKÖPINGS LÄN</t>
        </is>
      </c>
      <c r="G298" t="inlineStr">
        <is>
          <t>VÄRNAMO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46271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46271</v>
      </c>
      <c r="F300" t="inlineStr">
        <is>
          <t>JÖNKÖPINGS LÄN</t>
        </is>
      </c>
      <c r="G300" t="inlineStr">
        <is>
          <t>VÄRNAMO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46271</v>
      </c>
      <c r="F301" t="inlineStr">
        <is>
          <t>JÖNKÖPINGS LÄN</t>
        </is>
      </c>
      <c r="G301" t="inlineStr">
        <is>
          <t>VÄRNAMO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46271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46271</v>
      </c>
      <c r="F303" t="inlineStr">
        <is>
          <t>JÖNKÖPINGS LÄN</t>
        </is>
      </c>
      <c r="G303" t="inlineStr">
        <is>
          <t>VÄRNAMO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46271</v>
      </c>
      <c r="F304" t="inlineStr">
        <is>
          <t>JÖNKÖPINGS LÄN</t>
        </is>
      </c>
      <c r="G304" t="inlineStr">
        <is>
          <t>VÄRNAMO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46073</v>
      </c>
      <c r="E305" s="1" t="n">
        <v>46271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46271</v>
      </c>
      <c r="F306" t="inlineStr">
        <is>
          <t>JÖNKÖPINGS LÄN</t>
        </is>
      </c>
      <c r="G306" t="inlineStr">
        <is>
          <t>VÄRNAMO</t>
        </is>
      </c>
      <c r="H306" t="inlineStr">
        <is>
          <t>Sveaskog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46271</v>
      </c>
      <c r="F307" t="inlineStr">
        <is>
          <t>JÖNKÖPINGS LÄN</t>
        </is>
      </c>
      <c r="G307" t="inlineStr">
        <is>
          <t>VÄRNAMO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46271</v>
      </c>
      <c r="F308" t="inlineStr">
        <is>
          <t>JÖNKÖPINGS LÄN</t>
        </is>
      </c>
      <c r="G308" t="inlineStr">
        <is>
          <t>VÄRNAMO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46271</v>
      </c>
      <c r="F309" t="inlineStr">
        <is>
          <t>JÖNKÖPINGS LÄN</t>
        </is>
      </c>
      <c r="G309" t="inlineStr">
        <is>
          <t>VÄRNAMO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46271</v>
      </c>
      <c r="F310" t="inlineStr">
        <is>
          <t>JÖNKÖPINGS LÄN</t>
        </is>
      </c>
      <c r="G310" t="inlineStr">
        <is>
          <t>VÄRNAMO</t>
        </is>
      </c>
      <c r="H310" t="inlineStr">
        <is>
          <t>Sveaskog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45124</v>
      </c>
      <c r="E311" s="1" t="n">
        <v>46271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45056</v>
      </c>
      <c r="E312" s="1" t="n">
        <v>46271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46078</v>
      </c>
      <c r="E313" s="1" t="n">
        <v>46271</v>
      </c>
      <c r="F313" t="inlineStr">
        <is>
          <t>JÖNKÖPINGS LÄN</t>
        </is>
      </c>
      <c r="G313" t="inlineStr">
        <is>
          <t>VÄRNAMO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46271</v>
      </c>
      <c r="F314" t="inlineStr">
        <is>
          <t>JÖNKÖPINGS LÄN</t>
        </is>
      </c>
      <c r="G314" t="inlineStr">
        <is>
          <t>VÄRNAMO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46271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45987</v>
      </c>
      <c r="E316" s="1" t="n">
        <v>46271</v>
      </c>
      <c r="F316" t="inlineStr">
        <is>
          <t>JÖNKÖPINGS LÄN</t>
        </is>
      </c>
      <c r="G316" t="inlineStr">
        <is>
          <t>VÄRNAMO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46271</v>
      </c>
      <c r="F317" t="inlineStr">
        <is>
          <t>JÖNKÖPINGS LÄN</t>
        </is>
      </c>
      <c r="G317" t="inlineStr">
        <is>
          <t>VÄRNAMO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46271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46271</v>
      </c>
      <c r="F319" t="inlineStr">
        <is>
          <t>JÖNKÖPINGS LÄN</t>
        </is>
      </c>
      <c r="G319" t="inlineStr">
        <is>
          <t>VÄRNAMO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45274</v>
      </c>
      <c r="E320" s="1" t="n">
        <v>46271</v>
      </c>
      <c r="F320" t="inlineStr">
        <is>
          <t>JÖNKÖPINGS LÄN</t>
        </is>
      </c>
      <c r="G320" t="inlineStr">
        <is>
          <t>VÄRNAMO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46271</v>
      </c>
      <c r="F321" t="inlineStr">
        <is>
          <t>JÖNKÖPINGS LÄN</t>
        </is>
      </c>
      <c r="G321" t="inlineStr">
        <is>
          <t>VÄRNAMO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46271</v>
      </c>
      <c r="F322" t="inlineStr">
        <is>
          <t>JÖNKÖPINGS LÄN</t>
        </is>
      </c>
      <c r="G322" t="inlineStr">
        <is>
          <t>VÄRNAMO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46271</v>
      </c>
      <c r="F323" t="inlineStr">
        <is>
          <t>JÖNKÖPINGS LÄN</t>
        </is>
      </c>
      <c r="G323" t="inlineStr">
        <is>
          <t>VÄRNAMO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46271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46271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46271</v>
      </c>
      <c r="F326" t="inlineStr">
        <is>
          <t>JÖNKÖPINGS LÄN</t>
        </is>
      </c>
      <c r="G326" t="inlineStr">
        <is>
          <t>VÄRNAMO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46271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46271</v>
      </c>
      <c r="F328" t="inlineStr">
        <is>
          <t>JÖNKÖPINGS LÄN</t>
        </is>
      </c>
      <c r="G328" t="inlineStr">
        <is>
          <t>VÄRNAMO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46271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44461</v>
      </c>
      <c r="E330" s="1" t="n">
        <v>46271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46271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44931</v>
      </c>
      <c r="E332" s="1" t="n">
        <v>46271</v>
      </c>
      <c r="F332" t="inlineStr">
        <is>
          <t>JÖNKÖPINGS LÄN</t>
        </is>
      </c>
      <c r="G332" t="inlineStr">
        <is>
          <t>VÄRNAMO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46271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46271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46271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46271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46271</v>
      </c>
      <c r="F337" t="inlineStr">
        <is>
          <t>JÖNKÖPINGS LÄN</t>
        </is>
      </c>
      <c r="G337" t="inlineStr">
        <is>
          <t>VÄRNAMO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46271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61565-2025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46271</v>
      </c>
      <c r="F339" t="inlineStr">
        <is>
          <t>JÖNKÖPINGS LÄN</t>
        </is>
      </c>
      <c r="G339" t="inlineStr">
        <is>
          <t>VÄRNAMO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46271</v>
      </c>
      <c r="F340" t="inlineStr">
        <is>
          <t>JÖNKÖPINGS LÄN</t>
        </is>
      </c>
      <c r="G340" t="inlineStr">
        <is>
          <t>VÄRNAMO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46271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46271</v>
      </c>
      <c r="F342" t="inlineStr">
        <is>
          <t>JÖNKÖPINGS LÄN</t>
        </is>
      </c>
      <c r="G342" t="inlineStr">
        <is>
          <t>VÄRNAMO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46271</v>
      </c>
      <c r="F343" t="inlineStr">
        <is>
          <t>JÖNKÖPINGS LÄN</t>
        </is>
      </c>
      <c r="G343" t="inlineStr">
        <is>
          <t>VÄRNAMO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46271</v>
      </c>
      <c r="F344" t="inlineStr">
        <is>
          <t>JÖNKÖPINGS LÄN</t>
        </is>
      </c>
      <c r="G344" t="inlineStr">
        <is>
          <t>VÄRNAMO</t>
        </is>
      </c>
      <c r="H344" t="inlineStr">
        <is>
          <t>Kommuner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12095-2026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46086</v>
      </c>
      <c r="E345" s="1" t="n">
        <v>46271</v>
      </c>
      <c r="F345" t="inlineStr">
        <is>
          <t>JÖNKÖPINGS LÄN</t>
        </is>
      </c>
      <c r="G345" t="inlineStr">
        <is>
          <t>VÄRNAMO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44445</v>
      </c>
      <c r="E346" s="1" t="n">
        <v>46271</v>
      </c>
      <c r="F346" t="inlineStr">
        <is>
          <t>JÖNKÖPINGS LÄN</t>
        </is>
      </c>
      <c r="G346" t="inlineStr">
        <is>
          <t>VÄRNAMO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44882</v>
      </c>
      <c r="E347" s="1" t="n">
        <v>46271</v>
      </c>
      <c r="F347" t="inlineStr">
        <is>
          <t>JÖNKÖPINGS LÄN</t>
        </is>
      </c>
      <c r="G347" t="inlineStr">
        <is>
          <t>VÄRNAMO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46271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46271</v>
      </c>
      <c r="F349" t="inlineStr">
        <is>
          <t>JÖNKÖPINGS LÄN</t>
        </is>
      </c>
      <c r="G349" t="inlineStr">
        <is>
          <t>VÄRNAMO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45308</v>
      </c>
      <c r="E350" s="1" t="n">
        <v>46271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46271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46271</v>
      </c>
      <c r="F352" t="inlineStr">
        <is>
          <t>JÖNKÖPINGS LÄN</t>
        </is>
      </c>
      <c r="G352" t="inlineStr">
        <is>
          <t>VÄRNAMO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46271</v>
      </c>
      <c r="F353" t="inlineStr">
        <is>
          <t>JÖNKÖPINGS LÄN</t>
        </is>
      </c>
      <c r="G353" t="inlineStr">
        <is>
          <t>VÄRNAMO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46271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45043</v>
      </c>
      <c r="E355" s="1" t="n">
        <v>46271</v>
      </c>
      <c r="F355" t="inlineStr">
        <is>
          <t>JÖNKÖPINGS LÄN</t>
        </is>
      </c>
      <c r="G355" t="inlineStr">
        <is>
          <t>VÄRNAMO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46271</v>
      </c>
      <c r="F356" t="inlineStr">
        <is>
          <t>JÖNKÖPINGS LÄN</t>
        </is>
      </c>
      <c r="G356" t="inlineStr">
        <is>
          <t>VÄRNAMO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46271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45221</v>
      </c>
      <c r="E358" s="1" t="n">
        <v>46271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46271</v>
      </c>
      <c r="F359" t="inlineStr">
        <is>
          <t>JÖNKÖPINGS LÄN</t>
        </is>
      </c>
      <c r="G359" t="inlineStr">
        <is>
          <t>VÄRNAMO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45642</v>
      </c>
      <c r="E360" s="1" t="n">
        <v>46271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44970</v>
      </c>
      <c r="E361" s="1" t="n">
        <v>46271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46271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46271</v>
      </c>
      <c r="F363" t="inlineStr">
        <is>
          <t>JÖNKÖPINGS LÄN</t>
        </is>
      </c>
      <c r="G363" t="inlineStr">
        <is>
          <t>VÄRNAMO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46271</v>
      </c>
      <c r="F364" t="inlineStr">
        <is>
          <t>JÖNKÖPINGS LÄN</t>
        </is>
      </c>
      <c r="G364" t="inlineStr">
        <is>
          <t>VÄRNAMO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46271</v>
      </c>
      <c r="F365" t="inlineStr">
        <is>
          <t>JÖNKÖPINGS LÄN</t>
        </is>
      </c>
      <c r="G365" t="inlineStr">
        <is>
          <t>VÄRNAMO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46271</v>
      </c>
      <c r="F366" t="inlineStr">
        <is>
          <t>JÖNKÖPINGS LÄN</t>
        </is>
      </c>
      <c r="G366" t="inlineStr">
        <is>
          <t>VÄRNAMO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7727-2022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46271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46271</v>
      </c>
      <c r="F368" t="inlineStr">
        <is>
          <t>JÖNKÖPINGS LÄN</t>
        </is>
      </c>
      <c r="G368" t="inlineStr">
        <is>
          <t>VÄRNAMO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46271</v>
      </c>
      <c r="F369" t="inlineStr">
        <is>
          <t>JÖNKÖPINGS LÄN</t>
        </is>
      </c>
      <c r="G369" t="inlineStr">
        <is>
          <t>VÄRNAMO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46271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8968-2024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45357</v>
      </c>
      <c r="E371" s="1" t="n">
        <v>46271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44642</v>
      </c>
      <c r="E372" s="1" t="n">
        <v>46271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46271</v>
      </c>
      <c r="F373" t="inlineStr">
        <is>
          <t>JÖNKÖPINGS LÄN</t>
        </is>
      </c>
      <c r="G373" t="inlineStr">
        <is>
          <t>VÄRNAMO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46271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45496</v>
      </c>
      <c r="E375" s="1" t="n">
        <v>46271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15101-2026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46101</v>
      </c>
      <c r="E376" s="1" t="n">
        <v>46271</v>
      </c>
      <c r="F376" t="inlineStr">
        <is>
          <t>JÖNKÖPINGS LÄN</t>
        </is>
      </c>
      <c r="G376" t="inlineStr">
        <is>
          <t>VÄRNAMO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46271</v>
      </c>
      <c r="F377" t="inlineStr">
        <is>
          <t>JÖNKÖPINGS LÄN</t>
        </is>
      </c>
      <c r="G377" t="inlineStr">
        <is>
          <t>VÄRNAMO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46271</v>
      </c>
      <c r="F378" t="inlineStr">
        <is>
          <t>JÖNKÖPINGS LÄN</t>
        </is>
      </c>
      <c r="G378" t="inlineStr">
        <is>
          <t>VÄRNAMO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46271</v>
      </c>
      <c r="F379" t="inlineStr">
        <is>
          <t>JÖNKÖPINGS LÄN</t>
        </is>
      </c>
      <c r="G379" t="inlineStr">
        <is>
          <t>VÄRNAMO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45401</v>
      </c>
      <c r="E380" s="1" t="n">
        <v>46271</v>
      </c>
      <c r="F380" t="inlineStr">
        <is>
          <t>JÖNKÖPINGS LÄN</t>
        </is>
      </c>
      <c r="G380" t="inlineStr">
        <is>
          <t>VÄRNAMO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74102-2021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44557</v>
      </c>
      <c r="E381" s="1" t="n">
        <v>46271</v>
      </c>
      <c r="F381" t="inlineStr">
        <is>
          <t>JÖNKÖPINGS LÄN</t>
        </is>
      </c>
      <c r="G381" t="inlineStr">
        <is>
          <t>VÄRNAMO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46271</v>
      </c>
      <c r="F382" t="inlineStr">
        <is>
          <t>JÖNKÖPINGS LÄN</t>
        </is>
      </c>
      <c r="G382" t="inlineStr">
        <is>
          <t>VÄRNAMO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54254-2021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44470</v>
      </c>
      <c r="E383" s="1" t="n">
        <v>46271</v>
      </c>
      <c r="F383" t="inlineStr">
        <is>
          <t>JÖNKÖPINGS LÄN</t>
        </is>
      </c>
      <c r="G383" t="inlineStr">
        <is>
          <t>VÄRNAMO</t>
        </is>
      </c>
      <c r="H383" t="inlineStr">
        <is>
          <t>Övriga Aktiebolag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46271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46271</v>
      </c>
      <c r="F385" t="inlineStr">
        <is>
          <t>JÖNKÖPINGS LÄN</t>
        </is>
      </c>
      <c r="G385" t="inlineStr">
        <is>
          <t>VÄRNAMO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71233-2021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46271</v>
      </c>
      <c r="F386" t="inlineStr">
        <is>
          <t>JÖNKÖPINGS LÄN</t>
        </is>
      </c>
      <c r="G386" t="inlineStr">
        <is>
          <t>VÄRNAMO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46271</v>
      </c>
      <c r="F387" t="inlineStr">
        <is>
          <t>JÖNKÖPINGS LÄN</t>
        </is>
      </c>
      <c r="G387" t="inlineStr">
        <is>
          <t>VÄRNAMO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46271</v>
      </c>
      <c r="F388" t="inlineStr">
        <is>
          <t>JÖNKÖPINGS LÄN</t>
        </is>
      </c>
      <c r="G388" t="inlineStr">
        <is>
          <t>VÄRNAMO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45160</v>
      </c>
      <c r="E389" s="1" t="n">
        <v>46271</v>
      </c>
      <c r="F389" t="inlineStr">
        <is>
          <t>JÖNKÖPINGS LÄN</t>
        </is>
      </c>
      <c r="G389" t="inlineStr">
        <is>
          <t>VÄRNAMO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46271</v>
      </c>
      <c r="F390" t="inlineStr">
        <is>
          <t>JÖNKÖPINGS LÄN</t>
        </is>
      </c>
      <c r="G390" t="inlineStr">
        <is>
          <t>VÄRNAMO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46271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46271</v>
      </c>
      <c r="F392" t="inlineStr">
        <is>
          <t>JÖNKÖPINGS LÄN</t>
        </is>
      </c>
      <c r="G392" t="inlineStr">
        <is>
          <t>VÄRNAMO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46271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40779-2024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46271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46271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44970</v>
      </c>
      <c r="E396" s="1" t="n">
        <v>46271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45200</v>
      </c>
      <c r="E397" s="1" t="n">
        <v>46271</v>
      </c>
      <c r="F397" t="inlineStr">
        <is>
          <t>JÖNKÖPINGS LÄN</t>
        </is>
      </c>
      <c r="G397" t="inlineStr">
        <is>
          <t>VÄRNAMO</t>
        </is>
      </c>
      <c r="H397" t="inlineStr">
        <is>
          <t>Övriga Aktiebolag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45106</v>
      </c>
      <c r="E398" s="1" t="n">
        <v>46271</v>
      </c>
      <c r="F398" t="inlineStr">
        <is>
          <t>JÖNKÖPINGS LÄN</t>
        </is>
      </c>
      <c r="G398" t="inlineStr">
        <is>
          <t>VÄRNAMO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44686</v>
      </c>
      <c r="E399" s="1" t="n">
        <v>46271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46271</v>
      </c>
      <c r="F400" t="inlineStr">
        <is>
          <t>JÖNKÖPINGS LÄN</t>
        </is>
      </c>
      <c r="G400" t="inlineStr">
        <is>
          <t>VÄRNAMO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46271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46271</v>
      </c>
      <c r="F402" t="inlineStr">
        <is>
          <t>JÖNKÖPINGS LÄN</t>
        </is>
      </c>
      <c r="G402" t="inlineStr">
        <is>
          <t>VÄRNAMO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46271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46271</v>
      </c>
      <c r="F404" t="inlineStr">
        <is>
          <t>JÖNKÖPINGS LÄN</t>
        </is>
      </c>
      <c r="G404" t="inlineStr">
        <is>
          <t>VÄRNAMO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46271</v>
      </c>
      <c r="F405" t="inlineStr">
        <is>
          <t>JÖNKÖPINGS LÄN</t>
        </is>
      </c>
      <c r="G405" t="inlineStr">
        <is>
          <t>VÄRNAMO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1246-2024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45302</v>
      </c>
      <c r="E406" s="1" t="n">
        <v>46271</v>
      </c>
      <c r="F406" t="inlineStr">
        <is>
          <t>JÖNKÖPINGS LÄN</t>
        </is>
      </c>
      <c r="G406" t="inlineStr">
        <is>
          <t>VÄRNAMO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46271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46271</v>
      </c>
      <c r="F408" t="inlineStr">
        <is>
          <t>JÖNKÖPINGS LÄN</t>
        </is>
      </c>
      <c r="G408" t="inlineStr">
        <is>
          <t>VÄRNAMO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45505</v>
      </c>
      <c r="E409" s="1" t="n">
        <v>46271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62232-2023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46271</v>
      </c>
      <c r="F410" t="inlineStr">
        <is>
          <t>JÖNKÖPINGS LÄN</t>
        </is>
      </c>
      <c r="G410" t="inlineStr">
        <is>
          <t>VÄRNAMO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46271</v>
      </c>
      <c r="F411" t="inlineStr">
        <is>
          <t>JÖNKÖPINGS LÄN</t>
        </is>
      </c>
      <c r="G411" t="inlineStr">
        <is>
          <t>VÄRNAMO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46271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46271</v>
      </c>
      <c r="F413" t="inlineStr">
        <is>
          <t>JÖNKÖPINGS LÄN</t>
        </is>
      </c>
      <c r="G413" t="inlineStr">
        <is>
          <t>VÄRNAMO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46271</v>
      </c>
      <c r="F414" t="inlineStr">
        <is>
          <t>JÖNKÖPINGS LÄN</t>
        </is>
      </c>
      <c r="G414" t="inlineStr">
        <is>
          <t>VÄRNAMO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46271</v>
      </c>
      <c r="F415" t="inlineStr">
        <is>
          <t>JÖNKÖPINGS LÄN</t>
        </is>
      </c>
      <c r="G415" t="inlineStr">
        <is>
          <t>VÄRNAMO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46271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46271</v>
      </c>
      <c r="F417" t="inlineStr">
        <is>
          <t>JÖNKÖPINGS LÄN</t>
        </is>
      </c>
      <c r="G417" t="inlineStr">
        <is>
          <t>VÄRNAMO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46271</v>
      </c>
      <c r="F418" t="inlineStr">
        <is>
          <t>JÖNKÖPINGS LÄN</t>
        </is>
      </c>
      <c r="G418" t="inlineStr">
        <is>
          <t>VÄRNAMO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46271</v>
      </c>
      <c r="F419" t="inlineStr">
        <is>
          <t>JÖNKÖPINGS LÄN</t>
        </is>
      </c>
      <c r="G419" t="inlineStr">
        <is>
          <t>VÄRNAMO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45443</v>
      </c>
      <c r="E420" s="1" t="n">
        <v>46271</v>
      </c>
      <c r="F420" t="inlineStr">
        <is>
          <t>JÖNKÖPINGS LÄN</t>
        </is>
      </c>
      <c r="G420" t="inlineStr">
        <is>
          <t>VÄRNAMO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45889</v>
      </c>
      <c r="E421" s="1" t="n">
        <v>46271</v>
      </c>
      <c r="F421" t="inlineStr">
        <is>
          <t>JÖNKÖPINGS LÄN</t>
        </is>
      </c>
      <c r="G421" t="inlineStr">
        <is>
          <t>VÄRNAMO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46271</v>
      </c>
      <c r="F422" t="inlineStr">
        <is>
          <t>JÖNKÖPINGS LÄN</t>
        </is>
      </c>
      <c r="G422" t="inlineStr">
        <is>
          <t>VÄRNAMO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46271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46271</v>
      </c>
      <c r="F424" t="inlineStr">
        <is>
          <t>JÖNKÖPINGS LÄN</t>
        </is>
      </c>
      <c r="G424" t="inlineStr">
        <is>
          <t>VÄRNAMO</t>
        </is>
      </c>
      <c r="H424" t="inlineStr">
        <is>
          <t>Kommuner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46271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46271</v>
      </c>
      <c r="F426" t="inlineStr">
        <is>
          <t>JÖNKÖPINGS LÄN</t>
        </is>
      </c>
      <c r="G426" t="inlineStr">
        <is>
          <t>VÄRNAMO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45302</v>
      </c>
      <c r="E427" s="1" t="n">
        <v>46271</v>
      </c>
      <c r="F427" t="inlineStr">
        <is>
          <t>JÖNKÖPINGS LÄN</t>
        </is>
      </c>
      <c r="G427" t="inlineStr">
        <is>
          <t>VÄRNAMO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46271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14353-2022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44652</v>
      </c>
      <c r="E429" s="1" t="n">
        <v>46271</v>
      </c>
      <c r="F429" t="inlineStr">
        <is>
          <t>JÖNKÖPINGS LÄN</t>
        </is>
      </c>
      <c r="G429" t="inlineStr">
        <is>
          <t>VÄRNAMO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46271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45271</v>
      </c>
      <c r="E431" s="1" t="n">
        <v>46271</v>
      </c>
      <c r="F431" t="inlineStr">
        <is>
          <t>JÖNKÖPINGS LÄN</t>
        </is>
      </c>
      <c r="G431" t="inlineStr">
        <is>
          <t>VÄRNAMO</t>
        </is>
      </c>
      <c r="H431" t="inlineStr">
        <is>
          <t>Kommuner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33315-2025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45841</v>
      </c>
      <c r="E432" s="1" t="n">
        <v>46271</v>
      </c>
      <c r="F432" t="inlineStr">
        <is>
          <t>JÖNKÖPINGS LÄN</t>
        </is>
      </c>
      <c r="G432" t="inlineStr">
        <is>
          <t>VÄRNAMO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46271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46271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45785</v>
      </c>
      <c r="E435" s="1" t="n">
        <v>46271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48615-2025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45936</v>
      </c>
      <c r="E436" s="1" t="n">
        <v>46271</v>
      </c>
      <c r="F436" t="inlineStr">
        <is>
          <t>JÖNKÖPINGS LÄN</t>
        </is>
      </c>
      <c r="G436" t="inlineStr">
        <is>
          <t>VÄRNAMO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45812</v>
      </c>
      <c r="E437" s="1" t="n">
        <v>46271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46271</v>
      </c>
      <c r="F438" t="inlineStr">
        <is>
          <t>JÖNKÖPINGS LÄN</t>
        </is>
      </c>
      <c r="G438" t="inlineStr">
        <is>
          <t>VÄRNAMO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46271</v>
      </c>
      <c r="F439" t="inlineStr">
        <is>
          <t>JÖNKÖPINGS LÄN</t>
        </is>
      </c>
      <c r="G439" t="inlineStr">
        <is>
          <t>VÄRNAMO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46271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46271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46271</v>
      </c>
      <c r="F442" t="inlineStr">
        <is>
          <t>JÖNKÖPINGS LÄN</t>
        </is>
      </c>
      <c r="G442" t="inlineStr">
        <is>
          <t>VÄRNAMO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46271</v>
      </c>
      <c r="F443" t="inlineStr">
        <is>
          <t>JÖNKÖPINGS LÄN</t>
        </is>
      </c>
      <c r="G443" t="inlineStr">
        <is>
          <t>VÄRNAMO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45509</v>
      </c>
      <c r="E444" s="1" t="n">
        <v>46271</v>
      </c>
      <c r="F444" t="inlineStr">
        <is>
          <t>JÖNKÖPINGS LÄN</t>
        </is>
      </c>
      <c r="G444" t="inlineStr">
        <is>
          <t>VÄRNAMO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37293-2025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45876</v>
      </c>
      <c r="E445" s="1" t="n">
        <v>46271</v>
      </c>
      <c r="F445" t="inlineStr">
        <is>
          <t>JÖNKÖPINGS LÄN</t>
        </is>
      </c>
      <c r="G445" t="inlineStr">
        <is>
          <t>VÄRNAMO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45827</v>
      </c>
      <c r="E446" s="1" t="n">
        <v>46271</v>
      </c>
      <c r="F446" t="inlineStr">
        <is>
          <t>JÖNKÖPINGS LÄN</t>
        </is>
      </c>
      <c r="G446" t="inlineStr">
        <is>
          <t>VÄRNAMO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45509</v>
      </c>
      <c r="E447" s="1" t="n">
        <v>46271</v>
      </c>
      <c r="F447" t="inlineStr">
        <is>
          <t>JÖNKÖPINGS LÄN</t>
        </is>
      </c>
      <c r="G447" t="inlineStr">
        <is>
          <t>VÄRNAMO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46271</v>
      </c>
      <c r="F448" t="inlineStr">
        <is>
          <t>JÖNKÖPINGS LÄN</t>
        </is>
      </c>
      <c r="G448" t="inlineStr">
        <is>
          <t>VÄRNAMO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29162-2023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45105</v>
      </c>
      <c r="E449" s="1" t="n">
        <v>46271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29168-2023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45105</v>
      </c>
      <c r="E450" s="1" t="n">
        <v>46271</v>
      </c>
      <c r="F450" t="inlineStr">
        <is>
          <t>JÖNKÖPINGS LÄN</t>
        </is>
      </c>
      <c r="G450" t="inlineStr">
        <is>
          <t>VÄRNAMO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46271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46271</v>
      </c>
      <c r="F452" t="inlineStr">
        <is>
          <t>JÖNKÖPINGS LÄN</t>
        </is>
      </c>
      <c r="G452" t="inlineStr">
        <is>
          <t>VÄRNAMO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14439-2023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45012</v>
      </c>
      <c r="E453" s="1" t="n">
        <v>46271</v>
      </c>
      <c r="F453" t="inlineStr">
        <is>
          <t>JÖNKÖPINGS LÄN</t>
        </is>
      </c>
      <c r="G453" t="inlineStr">
        <is>
          <t>VÄRNAMO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45078</v>
      </c>
      <c r="E454" s="1" t="n">
        <v>46271</v>
      </c>
      <c r="F454" t="inlineStr">
        <is>
          <t>JÖNKÖPINGS LÄN</t>
        </is>
      </c>
      <c r="G454" t="inlineStr">
        <is>
          <t>VÄRNAMO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42575-2022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44831</v>
      </c>
      <c r="E455" s="1" t="n">
        <v>46271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45357</v>
      </c>
      <c r="E456" s="1" t="n">
        <v>46271</v>
      </c>
      <c r="F456" t="inlineStr">
        <is>
          <t>JÖNKÖPINGS LÄN</t>
        </is>
      </c>
      <c r="G456" t="inlineStr">
        <is>
          <t>VÄRNAMO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45069</v>
      </c>
      <c r="E457" s="1" t="n">
        <v>46271</v>
      </c>
      <c r="F457" t="inlineStr">
        <is>
          <t>JÖNKÖPINGS LÄN</t>
        </is>
      </c>
      <c r="G457" t="inlineStr">
        <is>
          <t>VÄRNAMO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46271</v>
      </c>
      <c r="F458" t="inlineStr">
        <is>
          <t>JÖNKÖPINGS LÄN</t>
        </is>
      </c>
      <c r="G458" t="inlineStr">
        <is>
          <t>VÄRNAMO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46271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45517</v>
      </c>
      <c r="E460" s="1" t="n">
        <v>46271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9040-2025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45713</v>
      </c>
      <c r="E461" s="1" t="n">
        <v>46271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68171-2021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44526</v>
      </c>
      <c r="E462" s="1" t="n">
        <v>46271</v>
      </c>
      <c r="F462" t="inlineStr">
        <is>
          <t>JÖNKÖPINGS LÄN</t>
        </is>
      </c>
      <c r="G462" t="inlineStr">
        <is>
          <t>VÄRNAMO</t>
        </is>
      </c>
      <c r="H462" t="inlineStr">
        <is>
          <t>Kommuner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45718</v>
      </c>
      <c r="E463" s="1" t="n">
        <v>46271</v>
      </c>
      <c r="F463" t="inlineStr">
        <is>
          <t>JÖNKÖPINGS LÄN</t>
        </is>
      </c>
      <c r="G463" t="inlineStr">
        <is>
          <t>VÄRNAMO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11210-2024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45371</v>
      </c>
      <c r="E464" s="1" t="n">
        <v>46271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46271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45160</v>
      </c>
      <c r="E466" s="1" t="n">
        <v>46271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46271</v>
      </c>
      <c r="F467" t="inlineStr">
        <is>
          <t>JÖNKÖPINGS LÄN</t>
        </is>
      </c>
      <c r="G467" t="inlineStr">
        <is>
          <t>VÄRNAMO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53533-2023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45223</v>
      </c>
      <c r="E468" s="1" t="n">
        <v>46271</v>
      </c>
      <c r="F468" t="inlineStr">
        <is>
          <t>JÖNKÖPINGS LÄN</t>
        </is>
      </c>
      <c r="G468" t="inlineStr">
        <is>
          <t>VÄRNAMO</t>
        </is>
      </c>
      <c r="H468" t="inlineStr">
        <is>
          <t>Kyrkan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46271</v>
      </c>
      <c r="F469" t="inlineStr">
        <is>
          <t>JÖNKÖPINGS LÄN</t>
        </is>
      </c>
      <c r="G469" t="inlineStr">
        <is>
          <t>VÄRNAMO</t>
        </is>
      </c>
      <c r="H469" t="inlineStr">
        <is>
          <t>Övriga Aktiebolag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46271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46271</v>
      </c>
      <c r="F471" t="inlineStr">
        <is>
          <t>JÖNKÖPINGS LÄN</t>
        </is>
      </c>
      <c r="G471" t="inlineStr">
        <is>
          <t>VÄRNAMO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61503-2021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44501</v>
      </c>
      <c r="E472" s="1" t="n">
        <v>46271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45114</v>
      </c>
      <c r="E473" s="1" t="n">
        <v>46271</v>
      </c>
      <c r="F473" t="inlineStr">
        <is>
          <t>JÖNKÖPINGS LÄN</t>
        </is>
      </c>
      <c r="G473" t="inlineStr">
        <is>
          <t>VÄRNAMO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46271</v>
      </c>
      <c r="F474" t="inlineStr">
        <is>
          <t>JÖNKÖPINGS LÄN</t>
        </is>
      </c>
      <c r="G474" t="inlineStr">
        <is>
          <t>VÄRNAMO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45674</v>
      </c>
      <c r="E475" s="1" t="n">
        <v>46271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46271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45563</v>
      </c>
      <c r="E477" s="1" t="n">
        <v>46271</v>
      </c>
      <c r="F477" t="inlineStr">
        <is>
          <t>JÖNKÖPINGS LÄN</t>
        </is>
      </c>
      <c r="G477" t="inlineStr">
        <is>
          <t>VÄRNAMO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46271</v>
      </c>
      <c r="F478" t="inlineStr">
        <is>
          <t>JÖNKÖPINGS LÄN</t>
        </is>
      </c>
      <c r="G478" t="inlineStr">
        <is>
          <t>VÄRNAMO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3866-2022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44587</v>
      </c>
      <c r="E479" s="1" t="n">
        <v>46271</v>
      </c>
      <c r="F479" t="inlineStr">
        <is>
          <t>JÖNKÖPINGS LÄN</t>
        </is>
      </c>
      <c r="G479" t="inlineStr">
        <is>
          <t>VÄRNAMO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56402-2023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45243</v>
      </c>
      <c r="E480" s="1" t="n">
        <v>46271</v>
      </c>
      <c r="F480" t="inlineStr">
        <is>
          <t>JÖNKÖPINGS LÄN</t>
        </is>
      </c>
      <c r="G480" t="inlineStr">
        <is>
          <t>VÄRNAMO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45243</v>
      </c>
      <c r="E481" s="1" t="n">
        <v>46271</v>
      </c>
      <c r="F481" t="inlineStr">
        <is>
          <t>JÖNKÖPINGS LÄN</t>
        </is>
      </c>
      <c r="G481" t="inlineStr">
        <is>
          <t>VÄRNAMO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46271</v>
      </c>
      <c r="F482" t="inlineStr">
        <is>
          <t>JÖNKÖPINGS LÄN</t>
        </is>
      </c>
      <c r="G482" t="inlineStr">
        <is>
          <t>VÄRNAMO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46271</v>
      </c>
      <c r="F483" t="inlineStr">
        <is>
          <t>JÖNKÖPINGS LÄN</t>
        </is>
      </c>
      <c r="G483" t="inlineStr">
        <is>
          <t>VÄRNAMO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74310-2021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44559</v>
      </c>
      <c r="E484" s="1" t="n">
        <v>46271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46271</v>
      </c>
      <c r="F485" t="inlineStr">
        <is>
          <t>JÖNKÖPINGS LÄN</t>
        </is>
      </c>
      <c r="G485" t="inlineStr">
        <is>
          <t>VÄRNAMO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46271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46271</v>
      </c>
      <c r="F487" t="inlineStr">
        <is>
          <t>JÖNKÖPINGS LÄN</t>
        </is>
      </c>
      <c r="G487" t="inlineStr">
        <is>
          <t>VÄRNAMO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46172</v>
      </c>
      <c r="E488" s="1" t="n">
        <v>46271</v>
      </c>
      <c r="F488" t="inlineStr">
        <is>
          <t>JÖNKÖPINGS LÄN</t>
        </is>
      </c>
      <c r="G488" t="inlineStr">
        <is>
          <t>VÄRNAMO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15105-2026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46101</v>
      </c>
      <c r="E489" s="1" t="n">
        <v>46271</v>
      </c>
      <c r="F489" t="inlineStr">
        <is>
          <t>JÖNKÖPINGS LÄN</t>
        </is>
      </c>
      <c r="G489" t="inlineStr">
        <is>
          <t>VÄRNAMO</t>
        </is>
      </c>
      <c r="I489" t="n">
        <v>58.2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46271</v>
      </c>
      <c r="F490" t="inlineStr">
        <is>
          <t>JÖNKÖPINGS LÄN</t>
        </is>
      </c>
      <c r="G490" t="inlineStr">
        <is>
          <t>VÄRNAMO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45200</v>
      </c>
      <c r="E491" s="1" t="n">
        <v>46271</v>
      </c>
      <c r="F491" t="inlineStr">
        <is>
          <t>JÖNKÖPINGS LÄN</t>
        </is>
      </c>
      <c r="G491" t="inlineStr">
        <is>
          <t>VÄRNAMO</t>
        </is>
      </c>
      <c r="H491" t="inlineStr">
        <is>
          <t>Övriga Aktiebolag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44820</v>
      </c>
      <c r="E492" s="1" t="n">
        <v>46271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46271</v>
      </c>
      <c r="F493" t="inlineStr">
        <is>
          <t>JÖNKÖPINGS LÄN</t>
        </is>
      </c>
      <c r="G493" t="inlineStr">
        <is>
          <t>VÄRNAMO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46271</v>
      </c>
      <c r="F494" t="inlineStr">
        <is>
          <t>JÖNKÖPINGS LÄN</t>
        </is>
      </c>
      <c r="G494" t="inlineStr">
        <is>
          <t>VÄRNAMO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46271</v>
      </c>
      <c r="F495" t="inlineStr">
        <is>
          <t>JÖNKÖPINGS LÄN</t>
        </is>
      </c>
      <c r="G495" t="inlineStr">
        <is>
          <t>VÄRNAMO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26986-2023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45093</v>
      </c>
      <c r="E496" s="1" t="n">
        <v>46271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46271</v>
      </c>
      <c r="F497" t="inlineStr">
        <is>
          <t>JÖNKÖPINGS LÄN</t>
        </is>
      </c>
      <c r="G497" t="inlineStr">
        <is>
          <t>VÄRNAMO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61108-2024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45645</v>
      </c>
      <c r="E498" s="1" t="n">
        <v>46271</v>
      </c>
      <c r="F498" t="inlineStr">
        <is>
          <t>JÖNKÖPINGS LÄN</t>
        </is>
      </c>
      <c r="G498" t="inlineStr">
        <is>
          <t>VÄRNAMO</t>
        </is>
      </c>
      <c r="I498" t="n">
        <v>13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16164-2024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45406</v>
      </c>
      <c r="E499" s="1" t="n">
        <v>46271</v>
      </c>
      <c r="F499" t="inlineStr">
        <is>
          <t>JÖNKÖPINGS LÄN</t>
        </is>
      </c>
      <c r="G499" t="inlineStr">
        <is>
          <t>VÄRNAMO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46271</v>
      </c>
      <c r="F500" t="inlineStr">
        <is>
          <t>JÖNKÖPINGS LÄN</t>
        </is>
      </c>
      <c r="G500" t="inlineStr">
        <is>
          <t>VÄRNAMO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63656-2023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46271</v>
      </c>
      <c r="F501" t="inlineStr">
        <is>
          <t>JÖNKÖPINGS LÄN</t>
        </is>
      </c>
      <c r="G501" t="inlineStr">
        <is>
          <t>VÄRNAMO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46271</v>
      </c>
      <c r="F502" t="inlineStr">
        <is>
          <t>JÖNKÖPINGS LÄN</t>
        </is>
      </c>
      <c r="G502" t="inlineStr">
        <is>
          <t>VÄRNAMO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46271</v>
      </c>
      <c r="F503" t="inlineStr">
        <is>
          <t>JÖNKÖPINGS LÄN</t>
        </is>
      </c>
      <c r="G503" t="inlineStr">
        <is>
          <t>VÄRNAMO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26930-2026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46271</v>
      </c>
      <c r="F504" t="inlineStr">
        <is>
          <t>JÖNKÖPINGS LÄN</t>
        </is>
      </c>
      <c r="G504" t="inlineStr">
        <is>
          <t>VÄRNAMO</t>
        </is>
      </c>
      <c r="H504" t="inlineStr">
        <is>
          <t>Kommuner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46271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46271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25102-2022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44729</v>
      </c>
      <c r="E507" s="1" t="n">
        <v>46271</v>
      </c>
      <c r="F507" t="inlineStr">
        <is>
          <t>JÖNKÖPINGS LÄN</t>
        </is>
      </c>
      <c r="G507" t="inlineStr">
        <is>
          <t>VÄRNAMO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46188</v>
      </c>
      <c r="E508" s="1" t="n">
        <v>46271</v>
      </c>
      <c r="F508" t="inlineStr">
        <is>
          <t>JÖNKÖPINGS LÄN</t>
        </is>
      </c>
      <c r="G508" t="inlineStr">
        <is>
          <t>VÄRNAMO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44949</v>
      </c>
      <c r="E509" s="1" t="n">
        <v>46271</v>
      </c>
      <c r="F509" t="inlineStr">
        <is>
          <t>JÖNKÖPINGS LÄN</t>
        </is>
      </c>
      <c r="G509" t="inlineStr">
        <is>
          <t>VÄRNAMO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46271</v>
      </c>
      <c r="F510" t="inlineStr">
        <is>
          <t>JÖNKÖPINGS LÄN</t>
        </is>
      </c>
      <c r="G510" t="inlineStr">
        <is>
          <t>VÄRNAMO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46271</v>
      </c>
      <c r="F511" t="inlineStr">
        <is>
          <t>JÖNKÖPINGS LÄN</t>
        </is>
      </c>
      <c r="G511" t="inlineStr">
        <is>
          <t>VÄRNAMO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46271</v>
      </c>
      <c r="F512" t="inlineStr">
        <is>
          <t>JÖNKÖPINGS LÄN</t>
        </is>
      </c>
      <c r="G512" t="inlineStr">
        <is>
          <t>VÄRNAMO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45270</v>
      </c>
      <c r="E513" s="1" t="n">
        <v>46271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46271</v>
      </c>
      <c r="F514" t="inlineStr">
        <is>
          <t>JÖNKÖPINGS LÄN</t>
        </is>
      </c>
      <c r="G514" t="inlineStr">
        <is>
          <t>VÄRNAMO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56272-2022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44890</v>
      </c>
      <c r="E515" s="1" t="n">
        <v>46271</v>
      </c>
      <c r="F515" t="inlineStr">
        <is>
          <t>JÖNKÖPINGS LÄN</t>
        </is>
      </c>
      <c r="G515" t="inlineStr">
        <is>
          <t>VÄRNAMO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46230</v>
      </c>
      <c r="E516" s="1" t="n">
        <v>46271</v>
      </c>
      <c r="F516" t="inlineStr">
        <is>
          <t>JÖNKÖPINGS LÄN</t>
        </is>
      </c>
      <c r="G516" t="inlineStr">
        <is>
          <t>VÄRNAMO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45105</v>
      </c>
      <c r="E517" s="1" t="n">
        <v>46271</v>
      </c>
      <c r="F517" t="inlineStr">
        <is>
          <t>JÖNKÖPINGS LÄN</t>
        </is>
      </c>
      <c r="G517" t="inlineStr">
        <is>
          <t>VÄRNAMO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45674</v>
      </c>
      <c r="E518" s="1" t="n">
        <v>46271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46271</v>
      </c>
      <c r="F519" t="inlineStr">
        <is>
          <t>JÖNKÖPINGS LÄN</t>
        </is>
      </c>
      <c r="G519" t="inlineStr">
        <is>
          <t>VÄRNAMO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46271</v>
      </c>
      <c r="F520" t="inlineStr">
        <is>
          <t>JÖNKÖPINGS LÄN</t>
        </is>
      </c>
      <c r="G520" t="inlineStr">
        <is>
          <t>VÄRNAMO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46271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45688</v>
      </c>
      <c r="E522" s="1" t="n">
        <v>46271</v>
      </c>
      <c r="F522" t="inlineStr">
        <is>
          <t>JÖNKÖPINGS LÄN</t>
        </is>
      </c>
      <c r="G522" t="inlineStr">
        <is>
          <t>VÄRNAMO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45554</v>
      </c>
      <c r="E523" s="1" t="n">
        <v>46271</v>
      </c>
      <c r="F523" t="inlineStr">
        <is>
          <t>JÖNKÖPINGS LÄN</t>
        </is>
      </c>
      <c r="G523" t="inlineStr">
        <is>
          <t>VÄRNAMO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45721</v>
      </c>
      <c r="E524" s="1" t="n">
        <v>46271</v>
      </c>
      <c r="F524" t="inlineStr">
        <is>
          <t>JÖNKÖPINGS LÄN</t>
        </is>
      </c>
      <c r="G524" t="inlineStr">
        <is>
          <t>VÄRNAMO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44230-2023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45188</v>
      </c>
      <c r="E525" s="1" t="n">
        <v>46271</v>
      </c>
      <c r="F525" t="inlineStr">
        <is>
          <t>JÖNKÖPINGS LÄN</t>
        </is>
      </c>
      <c r="G525" t="inlineStr">
        <is>
          <t>VÄRNAMO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46271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46271</v>
      </c>
      <c r="F527" t="inlineStr">
        <is>
          <t>JÖNKÖPINGS LÄN</t>
        </is>
      </c>
      <c r="G527" t="inlineStr">
        <is>
          <t>VÄRNAMO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46271</v>
      </c>
      <c r="F528" t="inlineStr">
        <is>
          <t>JÖNKÖPINGS LÄN</t>
        </is>
      </c>
      <c r="G528" t="inlineStr">
        <is>
          <t>VÄRNAMO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57373-2023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45245</v>
      </c>
      <c r="E529" s="1" t="n">
        <v>46271</v>
      </c>
      <c r="F529" t="inlineStr">
        <is>
          <t>JÖNKÖPINGS LÄN</t>
        </is>
      </c>
      <c r="G529" t="inlineStr">
        <is>
          <t>VÄRNAMO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46271</v>
      </c>
      <c r="F530" t="inlineStr">
        <is>
          <t>JÖNKÖPINGS LÄN</t>
        </is>
      </c>
      <c r="G530" t="inlineStr">
        <is>
          <t>VÄRNAMO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46271</v>
      </c>
      <c r="F531" t="inlineStr">
        <is>
          <t>JÖNKÖPINGS LÄN</t>
        </is>
      </c>
      <c r="G531" t="inlineStr">
        <is>
          <t>VÄRNAMO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44949</v>
      </c>
      <c r="E532" s="1" t="n">
        <v>46271</v>
      </c>
      <c r="F532" t="inlineStr">
        <is>
          <t>JÖNKÖPINGS LÄN</t>
        </is>
      </c>
      <c r="G532" t="inlineStr">
        <is>
          <t>VÄRNAMO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46193</v>
      </c>
      <c r="E533" s="1" t="n">
        <v>46271</v>
      </c>
      <c r="F533" t="inlineStr">
        <is>
          <t>JÖNKÖPINGS LÄN</t>
        </is>
      </c>
      <c r="G533" t="inlineStr">
        <is>
          <t>VÄRNAMO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46271</v>
      </c>
      <c r="F534" t="inlineStr">
        <is>
          <t>JÖNKÖPINGS LÄN</t>
        </is>
      </c>
      <c r="G534" t="inlineStr">
        <is>
          <t>VÄRNAMO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46271</v>
      </c>
      <c r="F535" t="inlineStr">
        <is>
          <t>JÖNKÖPINGS LÄN</t>
        </is>
      </c>
      <c r="G535" t="inlineStr">
        <is>
          <t>VÄRNAMO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46271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46271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46191</v>
      </c>
      <c r="E538" s="1" t="n">
        <v>46271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27916-2026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46271</v>
      </c>
      <c r="F539" t="inlineStr">
        <is>
          <t>JÖNKÖPINGS LÄN</t>
        </is>
      </c>
      <c r="G539" t="inlineStr">
        <is>
          <t>VÄRNAMO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46271</v>
      </c>
      <c r="F540" t="inlineStr">
        <is>
          <t>JÖNKÖPINGS LÄN</t>
        </is>
      </c>
      <c r="G540" t="inlineStr">
        <is>
          <t>VÄRNAMO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46271</v>
      </c>
      <c r="F541" t="inlineStr">
        <is>
          <t>JÖNKÖPINGS LÄN</t>
        </is>
      </c>
      <c r="G541" t="inlineStr">
        <is>
          <t>VÄRNAMO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74026-2021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44553</v>
      </c>
      <c r="E542" s="1" t="n">
        <v>46271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74027-2021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44553</v>
      </c>
      <c r="E543" s="1" t="n">
        <v>46271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45701</v>
      </c>
      <c r="E544" s="1" t="n">
        <v>46271</v>
      </c>
      <c r="F544" t="inlineStr">
        <is>
          <t>JÖNKÖPINGS LÄN</t>
        </is>
      </c>
      <c r="G544" t="inlineStr">
        <is>
          <t>VÄRNAMO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46271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46271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46271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45393</v>
      </c>
      <c r="E548" s="1" t="n">
        <v>46271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46271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41316-2023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46271</v>
      </c>
      <c r="F550" t="inlineStr">
        <is>
          <t>JÖNKÖPINGS LÄN</t>
        </is>
      </c>
      <c r="G550" t="inlineStr">
        <is>
          <t>VÄRNAMO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46271</v>
      </c>
      <c r="F551" t="inlineStr">
        <is>
          <t>JÖNKÖPINGS LÄN</t>
        </is>
      </c>
      <c r="G551" t="inlineStr">
        <is>
          <t>VÄRNAMO</t>
        </is>
      </c>
      <c r="H551" t="inlineStr">
        <is>
          <t>Sveaskog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46271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46271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46271</v>
      </c>
      <c r="F554" t="inlineStr">
        <is>
          <t>JÖNKÖPINGS LÄN</t>
        </is>
      </c>
      <c r="G554" t="inlineStr">
        <is>
          <t>VÄRNAMO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45343</v>
      </c>
      <c r="E555" s="1" t="n">
        <v>46271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45343</v>
      </c>
      <c r="E556" s="1" t="n">
        <v>46271</v>
      </c>
      <c r="F556" t="inlineStr">
        <is>
          <t>JÖNKÖPINGS LÄN</t>
        </is>
      </c>
      <c r="G556" t="inlineStr">
        <is>
          <t>VÄRNAMO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46238</v>
      </c>
      <c r="E557" s="1" t="n">
        <v>46271</v>
      </c>
      <c r="F557" t="inlineStr">
        <is>
          <t>JÖNKÖPINGS LÄN</t>
        </is>
      </c>
      <c r="G557" t="inlineStr">
        <is>
          <t>VÄRNAMO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32413-2026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46238</v>
      </c>
      <c r="E558" s="1" t="n">
        <v>46271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46271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44051-2023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45188</v>
      </c>
      <c r="E560" s="1" t="n">
        <v>46271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39656-2023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45167</v>
      </c>
      <c r="E561" s="1" t="n">
        <v>46271</v>
      </c>
      <c r="F561" t="inlineStr">
        <is>
          <t>JÖNKÖPINGS LÄN</t>
        </is>
      </c>
      <c r="G561" t="inlineStr">
        <is>
          <t>VÄRNAMO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42830-2024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45566</v>
      </c>
      <c r="E562" s="1" t="n">
        <v>46271</v>
      </c>
      <c r="F562" t="inlineStr">
        <is>
          <t>JÖNKÖPINGS LÄN</t>
        </is>
      </c>
      <c r="G562" t="inlineStr">
        <is>
          <t>VÄRNAMO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36729-2022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44805</v>
      </c>
      <c r="E563" s="1" t="n">
        <v>46271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44698</v>
      </c>
      <c r="E564" s="1" t="n">
        <v>46271</v>
      </c>
      <c r="F564" t="inlineStr">
        <is>
          <t>JÖNKÖPINGS LÄN</t>
        </is>
      </c>
      <c r="G564" t="inlineStr">
        <is>
          <t>VÄRNAMO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46271</v>
      </c>
      <c r="F565" t="inlineStr">
        <is>
          <t>JÖNKÖPINGS LÄN</t>
        </is>
      </c>
      <c r="G565" t="inlineStr">
        <is>
          <t>VÄRNAMO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46271</v>
      </c>
      <c r="F566" t="inlineStr">
        <is>
          <t>JÖNKÖPINGS LÄN</t>
        </is>
      </c>
      <c r="G566" t="inlineStr">
        <is>
          <t>VÄRNAMO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44936</v>
      </c>
      <c r="E567" s="1" t="n">
        <v>46271</v>
      </c>
      <c r="F567" t="inlineStr">
        <is>
          <t>JÖNKÖPINGS LÄN</t>
        </is>
      </c>
      <c r="G567" t="inlineStr">
        <is>
          <t>VÄRNAMO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46271</v>
      </c>
      <c r="F568" t="inlineStr">
        <is>
          <t>JÖNKÖPINGS LÄN</t>
        </is>
      </c>
      <c r="G568" t="inlineStr">
        <is>
          <t>VÄRNAMO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64002-2023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45278</v>
      </c>
      <c r="E569" s="1" t="n">
        <v>46271</v>
      </c>
      <c r="F569" t="inlineStr">
        <is>
          <t>JÖNKÖPINGS LÄN</t>
        </is>
      </c>
      <c r="G569" t="inlineStr">
        <is>
          <t>VÄRNAMO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51754-2024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46271</v>
      </c>
      <c r="F570" t="inlineStr">
        <is>
          <t>JÖNKÖPINGS LÄN</t>
        </is>
      </c>
      <c r="G570" t="inlineStr">
        <is>
          <t>VÄRNAMO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46271</v>
      </c>
      <c r="F571" t="inlineStr">
        <is>
          <t>JÖNKÖPINGS LÄN</t>
        </is>
      </c>
      <c r="G571" t="inlineStr">
        <is>
          <t>VÄRNAMO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46271</v>
      </c>
      <c r="F572" t="inlineStr">
        <is>
          <t>JÖNKÖPINGS LÄN</t>
        </is>
      </c>
      <c r="G572" t="inlineStr">
        <is>
          <t>VÄRNAMO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46271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64048-2023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45279</v>
      </c>
      <c r="E574" s="1" t="n">
        <v>46271</v>
      </c>
      <c r="F574" t="inlineStr">
        <is>
          <t>JÖNKÖPINGS LÄN</t>
        </is>
      </c>
      <c r="G574" t="inlineStr">
        <is>
          <t>VÄRNAMO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44699</v>
      </c>
      <c r="E575" s="1" t="n">
        <v>46271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46271</v>
      </c>
      <c r="F576" t="inlineStr">
        <is>
          <t>JÖNKÖPINGS LÄN</t>
        </is>
      </c>
      <c r="G576" t="inlineStr">
        <is>
          <t>VÄRNAMO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46271</v>
      </c>
      <c r="F577" t="inlineStr">
        <is>
          <t>JÖNKÖPINGS LÄN</t>
        </is>
      </c>
      <c r="G577" t="inlineStr">
        <is>
          <t>VÄRNAMO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46271</v>
      </c>
      <c r="F578" t="inlineStr">
        <is>
          <t>JÖNKÖPINGS LÄN</t>
        </is>
      </c>
      <c r="G578" t="inlineStr">
        <is>
          <t>VÄRNAMO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45197</v>
      </c>
      <c r="E579" s="1" t="n">
        <v>46271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46271</v>
      </c>
      <c r="F580" t="inlineStr">
        <is>
          <t>JÖNKÖPINGS LÄN</t>
        </is>
      </c>
      <c r="G580" t="inlineStr">
        <is>
          <t>VÄRNAMO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46271</v>
      </c>
      <c r="F581" t="inlineStr">
        <is>
          <t>JÖNKÖPINGS LÄN</t>
        </is>
      </c>
      <c r="G581" t="inlineStr">
        <is>
          <t>VÄRNAMO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45146</v>
      </c>
      <c r="E582" s="1" t="n">
        <v>46271</v>
      </c>
      <c r="F582" t="inlineStr">
        <is>
          <t>JÖNKÖPINGS LÄN</t>
        </is>
      </c>
      <c r="G582" t="inlineStr">
        <is>
          <t>VÄRNAMO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46271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45265</v>
      </c>
      <c r="E584" s="1" t="n">
        <v>46271</v>
      </c>
      <c r="F584" t="inlineStr">
        <is>
          <t>JÖNKÖPINGS LÄN</t>
        </is>
      </c>
      <c r="G584" t="inlineStr">
        <is>
          <t>VÄRNAMO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12304-2023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46271</v>
      </c>
      <c r="F585" t="inlineStr">
        <is>
          <t>JÖNKÖPINGS LÄN</t>
        </is>
      </c>
      <c r="G585" t="inlineStr">
        <is>
          <t>VÄRNAMO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46271</v>
      </c>
      <c r="F586" t="inlineStr">
        <is>
          <t>JÖNKÖPINGS LÄN</t>
        </is>
      </c>
      <c r="G586" t="inlineStr">
        <is>
          <t>VÄRNAMO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46271</v>
      </c>
      <c r="F587" t="inlineStr">
        <is>
          <t>JÖNKÖPINGS LÄN</t>
        </is>
      </c>
      <c r="G587" t="inlineStr">
        <is>
          <t>VÄRNAMO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17678-2023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46271</v>
      </c>
      <c r="F588" t="inlineStr">
        <is>
          <t>JÖNKÖPINGS LÄN</t>
        </is>
      </c>
      <c r="G588" t="inlineStr">
        <is>
          <t>VÄRNAMO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45777</v>
      </c>
      <c r="E589" s="1" t="n">
        <v>46271</v>
      </c>
      <c r="F589" t="inlineStr">
        <is>
          <t>JÖNKÖPINGS LÄN</t>
        </is>
      </c>
      <c r="G589" t="inlineStr">
        <is>
          <t>VÄRNAMO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34402-2026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46254</v>
      </c>
      <c r="E590" s="1" t="n">
        <v>46271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48186-2024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45589</v>
      </c>
      <c r="E591" s="1" t="n">
        <v>46271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46271</v>
      </c>
      <c r="F592" t="inlineStr">
        <is>
          <t>JÖNKÖPINGS LÄN</t>
        </is>
      </c>
      <c r="G592" t="inlineStr">
        <is>
          <t>VÄRNAMO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45468</v>
      </c>
      <c r="E593" s="1" t="n">
        <v>46271</v>
      </c>
      <c r="F593" t="inlineStr">
        <is>
          <t>JÖNKÖPINGS LÄN</t>
        </is>
      </c>
      <c r="G593" t="inlineStr">
        <is>
          <t>VÄRNAMO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46271</v>
      </c>
      <c r="F594" t="inlineStr">
        <is>
          <t>JÖNKÖPINGS LÄN</t>
        </is>
      </c>
      <c r="G594" t="inlineStr">
        <is>
          <t>VÄRNAMO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46271</v>
      </c>
      <c r="F595" t="inlineStr">
        <is>
          <t>JÖNKÖPINGS LÄN</t>
        </is>
      </c>
      <c r="G595" t="inlineStr">
        <is>
          <t>VÄRNAMO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46271</v>
      </c>
      <c r="F596" t="inlineStr">
        <is>
          <t>JÖNKÖPINGS LÄN</t>
        </is>
      </c>
      <c r="G596" t="inlineStr">
        <is>
          <t>VÄRNAMO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46271</v>
      </c>
      <c r="F597" t="inlineStr">
        <is>
          <t>JÖNKÖPINGS LÄN</t>
        </is>
      </c>
      <c r="G597" t="inlineStr">
        <is>
          <t>VÄRNAMO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45445</v>
      </c>
      <c r="E598" s="1" t="n">
        <v>46271</v>
      </c>
      <c r="F598" t="inlineStr">
        <is>
          <t>JÖNKÖPINGS LÄN</t>
        </is>
      </c>
      <c r="G598" t="inlineStr">
        <is>
          <t>VÄRNAMO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46271</v>
      </c>
      <c r="F599" t="inlineStr">
        <is>
          <t>JÖNKÖPINGS LÄN</t>
        </is>
      </c>
      <c r="G599" t="inlineStr">
        <is>
          <t>VÄRNAMO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46271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41893-2024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45561</v>
      </c>
      <c r="E601" s="1" t="n">
        <v>46271</v>
      </c>
      <c r="F601" t="inlineStr">
        <is>
          <t>JÖNKÖPINGS LÄN</t>
        </is>
      </c>
      <c r="G601" t="inlineStr">
        <is>
          <t>VÄRNAMO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23671-2025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45792</v>
      </c>
      <c r="E602" s="1" t="n">
        <v>46271</v>
      </c>
      <c r="F602" t="inlineStr">
        <is>
          <t>JÖNKÖPINGS LÄN</t>
        </is>
      </c>
      <c r="G602" t="inlineStr">
        <is>
          <t>VÄRNAMO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46271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46271</v>
      </c>
      <c r="F604" t="inlineStr">
        <is>
          <t>JÖNKÖPINGS LÄN</t>
        </is>
      </c>
      <c r="G604" t="inlineStr">
        <is>
          <t>VÄRNAMO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46271</v>
      </c>
      <c r="F605" t="inlineStr">
        <is>
          <t>JÖNKÖPINGS LÄN</t>
        </is>
      </c>
      <c r="G605" t="inlineStr">
        <is>
          <t>VÄRNAMO</t>
        </is>
      </c>
      <c r="H605" t="inlineStr">
        <is>
          <t>Kommuner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46271</v>
      </c>
      <c r="F606" t="inlineStr">
        <is>
          <t>JÖNKÖPINGS LÄN</t>
        </is>
      </c>
      <c r="G606" t="inlineStr">
        <is>
          <t>VÄRNAMO</t>
        </is>
      </c>
      <c r="H606" t="inlineStr">
        <is>
          <t>Kommuner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46271</v>
      </c>
      <c r="F607" t="inlineStr">
        <is>
          <t>JÖNKÖPINGS LÄN</t>
        </is>
      </c>
      <c r="G607" t="inlineStr">
        <is>
          <t>VÄRNAMO</t>
        </is>
      </c>
      <c r="H607" t="inlineStr">
        <is>
          <t>Kommuner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46271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46271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46271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46244</v>
      </c>
      <c r="E611" s="1" t="n">
        <v>46271</v>
      </c>
      <c r="F611" t="inlineStr">
        <is>
          <t>JÖNKÖPINGS LÄN</t>
        </is>
      </c>
      <c r="G611" t="inlineStr">
        <is>
          <t>VÄRNAMO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32878-2026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46244</v>
      </c>
      <c r="E612" s="1" t="n">
        <v>46271</v>
      </c>
      <c r="F612" t="inlineStr">
        <is>
          <t>JÖNKÖPINGS LÄN</t>
        </is>
      </c>
      <c r="G612" t="inlineStr">
        <is>
          <t>VÄRNAMO</t>
        </is>
      </c>
      <c r="I612" t="n">
        <v>11.7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3709-2021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44379</v>
      </c>
      <c r="E613" s="1" t="n">
        <v>46271</v>
      </c>
      <c r="F613" t="inlineStr">
        <is>
          <t>JÖNKÖPINGS LÄN</t>
        </is>
      </c>
      <c r="G613" t="inlineStr">
        <is>
          <t>VÄRNAMO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3199-2023</t>
        </is>
      </c>
      <c r="B614" t="inlineStr">
        <is>
          <t>samrådsanmälan</t>
        </is>
      </c>
      <c r="C614" t="inlineStr">
        <is>
          <t>Dikesrensning</t>
        </is>
      </c>
      <c r="D614" s="1" t="n">
        <v>45194</v>
      </c>
      <c r="E614" s="1" t="n">
        <v>46271</v>
      </c>
      <c r="F614" t="inlineStr">
        <is>
          <t>JÖNKÖPINGS LÄN</t>
        </is>
      </c>
      <c r="G614" t="inlineStr">
        <is>
          <t>VÄRNAMO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1595-2024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45427</v>
      </c>
      <c r="E615" s="1" t="n">
        <v>46271</v>
      </c>
      <c r="F615" t="inlineStr">
        <is>
          <t>JÖNKÖPINGS LÄN</t>
        </is>
      </c>
      <c r="G615" t="inlineStr">
        <is>
          <t>VÄRNAMO</t>
        </is>
      </c>
      <c r="I615" t="n">
        <v>51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6462-2021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44449</v>
      </c>
      <c r="E616" s="1" t="n">
        <v>46271</v>
      </c>
      <c r="F616" t="inlineStr">
        <is>
          <t>JÖNKÖPINGS LÄN</t>
        </is>
      </c>
      <c r="G616" t="inlineStr">
        <is>
          <t>VÄRNAMO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46271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46271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46271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46271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46271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46271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46271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46271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46271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46271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46271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46271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7728-2021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44479</v>
      </c>
      <c r="E629" s="1" t="n">
        <v>46271</v>
      </c>
      <c r="F629" t="inlineStr">
        <is>
          <t>JÖNKÖPINGS LÄN</t>
        </is>
      </c>
      <c r="G629" t="inlineStr">
        <is>
          <t>VÄRNAMO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46271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46271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46271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46271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2026-09-06T02:08:24Z</dcterms:created>
  <dcterms:modified xmlns:dcterms="http://purl.org/dc/terms/" xmlns:xsi="http://www.w3.org/2001/XMLSchema-instance" xsi:type="dcterms:W3CDTF">2026-09-06T02:08:24Z</dcterms:modified>
</cp:coreProperties>
</file>