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46290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46290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46290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46290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46290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46290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46290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46290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46290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46290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46290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46290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46290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46290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46290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46290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46290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46290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46290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46290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46290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46290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46290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46290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46290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46290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46290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46290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46290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Klockgentiana</t>
        </is>
      </c>
      <c r="W30">
        <f>HYPERLINK("https://klasma.github.io/Logging_0683/artfynd/A 10842-2026 artfynd.xlsx", "A 10842-2026")</f>
        <v/>
      </c>
      <c r="X30">
        <f>HYPERLINK("https://klasma.github.io/Logging_0683/kartor/A 10842-2026 karta.png", "A 10842-2026")</f>
        <v/>
      </c>
      <c r="Y30">
        <f>HYPERLINK("https://klasma.github.io/Logging_0683/kartor_geotiff/A 10842-2026 georefererad karta.tif", "A 10842-2026")</f>
        <v/>
      </c>
      <c r="AA30">
        <f>HYPERLINK("https://klasma.github.io/Logging_0683/klagomål/A 10842-2026 FSC-klagomål.docx", "A 10842-2026")</f>
        <v/>
      </c>
      <c r="AB30">
        <f>HYPERLINK("https://klasma.github.io/Logging_0683/klagomålsmail/A 10842-2026 FSC-klagomål mail.docx", "A 10842-2026")</f>
        <v/>
      </c>
      <c r="AC30">
        <f>HYPERLINK("https://klasma.github.io/Logging_0683/tillsyn/A 10842-2026 tillsynsbegäran.docx", "A 10842-2026")</f>
        <v/>
      </c>
      <c r="AD30">
        <f>HYPERLINK("https://klasma.github.io/Logging_0683/tillsynsmail/A 10842-2026 tillsynsbegäran mail.docx", "A 10842-2026")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46290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46290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46290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46290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46290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36222-2026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46290</v>
      </c>
      <c r="F36" t="inlineStr">
        <is>
          <t>JÖNKÖPINGS LÄN</t>
        </is>
      </c>
      <c r="G36" t="inlineStr">
        <is>
          <t>VÄRNAMO</t>
        </is>
      </c>
      <c r="I36" t="n">
        <v>4.2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Borsttåg</t>
        </is>
      </c>
      <c r="W36">
        <f>HYPERLINK("https://klasma.github.io/Logging_0683/artfynd/A 36222-2026 artfynd.xlsx", "A 36222-2026")</f>
        <v/>
      </c>
      <c r="X36">
        <f>HYPERLINK("https://klasma.github.io/Logging_0683/kartor/A 36222-2026 karta.png", "A 36222-2026")</f>
        <v/>
      </c>
      <c r="Y36">
        <f>HYPERLINK("https://klasma.github.io/Logging_0683/kartor_geotiff/A 36222-2026 georefererad karta.tif", "A 36222-2026")</f>
        <v/>
      </c>
      <c r="AA36">
        <f>HYPERLINK("https://klasma.github.io/Logging_0683/klagomål/A 36222-2026 FSC-klagomål.docx", "A 36222-2026")</f>
        <v/>
      </c>
      <c r="AB36">
        <f>HYPERLINK("https://klasma.github.io/Logging_0683/klagomålsmail/A 36222-2026 FSC-klagomål mail.docx", "A 36222-2026")</f>
        <v/>
      </c>
      <c r="AC36">
        <f>HYPERLINK("https://klasma.github.io/Logging_0683/tillsyn/A 36222-2026 tillsynsbegäran.docx", "A 36222-2026")</f>
        <v/>
      </c>
      <c r="AD36">
        <f>HYPERLINK("https://klasma.github.io/Logging_0683/tillsynsmail/A 36222-2026 tillsynsbegäran mail.docx", "A 36222-2026")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46290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A 38915-2026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46286</v>
      </c>
      <c r="E38" s="1" t="n">
        <v>46290</v>
      </c>
      <c r="F38" t="inlineStr">
        <is>
          <t>JÖNKÖPINGS LÄN</t>
        </is>
      </c>
      <c r="G38" t="inlineStr">
        <is>
          <t>VÄRNAMO</t>
        </is>
      </c>
      <c r="I38" t="n">
        <v>3.2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Blågrönt mannagräs</t>
        </is>
      </c>
      <c r="W38">
        <f>HYPERLINK("https://klasma.github.io/Logging_0683/artfynd/A 38915-2026 artfynd.xlsx", "A 38915-2026")</f>
        <v/>
      </c>
      <c r="X38">
        <f>HYPERLINK("https://klasma.github.io/Logging_0683/kartor/A 38915-2026 karta.png", "A 38915-2026")</f>
        <v/>
      </c>
      <c r="Y38">
        <f>HYPERLINK("https://klasma.github.io/Logging_0683/kartor_geotiff/A 38915-2026 georefererad karta.tif", "A 38915-2026")</f>
        <v/>
      </c>
      <c r="AA38">
        <f>HYPERLINK("https://klasma.github.io/Logging_0683/klagomål/A 38915-2026 FSC-klagomål.docx", "A 38915-2026")</f>
        <v/>
      </c>
      <c r="AB38">
        <f>HYPERLINK("https://klasma.github.io/Logging_0683/klagomålsmail/A 38915-2026 FSC-klagomål mail.docx", "A 38915-2026")</f>
        <v/>
      </c>
      <c r="AC38">
        <f>HYPERLINK("https://klasma.github.io/Logging_0683/tillsyn/A 38915-2026 tillsynsbegäran.docx", "A 38915-2026")</f>
        <v/>
      </c>
      <c r="AD38">
        <f>HYPERLINK("https://klasma.github.io/Logging_0683/tillsynsmail/A 38915-2026 tillsynsbegäran mail.docx", "A 38915-2026")</f>
        <v/>
      </c>
    </row>
    <row r="39" ht="15" customHeight="1">
      <c r="A39" t="inlineStr">
        <is>
          <t>A 39126-2026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46287</v>
      </c>
      <c r="E39" s="1" t="n">
        <v>46290</v>
      </c>
      <c r="F39" t="inlineStr">
        <is>
          <t>JÖNKÖPINGS LÄN</t>
        </is>
      </c>
      <c r="G39" t="inlineStr">
        <is>
          <t>VÄRNAMO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HYPERLINK("https://klasma.github.io/Logging_0683/artfynd/A 39126-2026 artfynd.xlsx", "A 39126-2026")</f>
        <v/>
      </c>
      <c r="X39">
        <f>HYPERLINK("https://klasma.github.io/Logging_0683/kartor/A 39126-2026 karta.png", "A 39126-2026")</f>
        <v/>
      </c>
      <c r="Y39">
        <f>HYPERLINK("https://klasma.github.io/Logging_0683/kartor_geotiff/A 39126-2026 georefererad karta.tif", "A 39126-2026")</f>
        <v/>
      </c>
      <c r="AA39">
        <f>HYPERLINK("https://klasma.github.io/Logging_0683/klagomål/A 39126-2026 FSC-klagomål.docx", "A 39126-2026")</f>
        <v/>
      </c>
      <c r="AB39">
        <f>HYPERLINK("https://klasma.github.io/Logging_0683/klagomålsmail/A 39126-2026 FSC-klagomål mail.docx", "A 39126-2026")</f>
        <v/>
      </c>
      <c r="AC39">
        <f>HYPERLINK("https://klasma.github.io/Logging_0683/tillsyn/A 39126-2026 tillsynsbegäran.docx", "A 39126-2026")</f>
        <v/>
      </c>
      <c r="AD39">
        <f>HYPERLINK("https://klasma.github.io/Logging_0683/tillsynsmail/A 39126-2026 tillsynsbegäran mail.docx", "A 39126-2026")</f>
        <v/>
      </c>
    </row>
    <row r="40" ht="15" customHeight="1">
      <c r="A40" t="inlineStr">
        <is>
          <t>A 33366-2025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46290</v>
      </c>
      <c r="F40" t="inlineStr">
        <is>
          <t>JÖNKÖPINGS LÄN</t>
        </is>
      </c>
      <c r="G40" t="inlineStr">
        <is>
          <t>VÄRNAMO</t>
        </is>
      </c>
      <c r="I40" t="n">
        <v>5.7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Strandlummer</t>
        </is>
      </c>
      <c r="W40">
        <f>HYPERLINK("https://klasma.github.io/Logging_0683/artfynd/A 33366-2025 artfynd.xlsx", "A 33366-2025")</f>
        <v/>
      </c>
      <c r="X40">
        <f>HYPERLINK("https://klasma.github.io/Logging_0683/kartor/A 33366-2025 karta.png", "A 33366-2025")</f>
        <v/>
      </c>
      <c r="Y40">
        <f>HYPERLINK("https://klasma.github.io/Logging_0683/kartor_geotiff/A 33366-2025 georefererad karta.tif", "A 33366-2025")</f>
        <v/>
      </c>
      <c r="AA40">
        <f>HYPERLINK("https://klasma.github.io/Logging_0683/klagomål/A 33366-2025 FSC-klagomål.docx", "A 33366-2025")</f>
        <v/>
      </c>
      <c r="AB40">
        <f>HYPERLINK("https://klasma.github.io/Logging_0683/klagomålsmail/A 33366-2025 FSC-klagomål mail.docx", "A 33366-2025")</f>
        <v/>
      </c>
      <c r="AC40">
        <f>HYPERLINK("https://klasma.github.io/Logging_0683/tillsyn/A 33366-2025 tillsynsbegäran.docx", "A 33366-2025")</f>
        <v/>
      </c>
      <c r="AD40">
        <f>HYPERLINK("https://klasma.github.io/Logging_0683/tillsynsmail/A 33366-2025 tillsynsbegäran mail.docx", "A 33366-2025")</f>
        <v/>
      </c>
    </row>
    <row r="41" ht="15" customHeight="1">
      <c r="A41" t="inlineStr">
        <is>
          <t>S 1545-2020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43980</v>
      </c>
      <c r="E41" s="1" t="n">
        <v>46290</v>
      </c>
      <c r="F41" t="inlineStr">
        <is>
          <t>JÖNKÖPINGS LÄN</t>
        </is>
      </c>
      <c r="G41" t="inlineStr">
        <is>
          <t>VÄRNAMO</t>
        </is>
      </c>
      <c r="I41" t="n">
        <v>1.1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Underviol</t>
        </is>
      </c>
      <c r="W41">
        <f>HYPERLINK("https://klasma.github.io/Logging_0683/artfynd/S 1545-2020 artfynd.xlsx", "S 1545-2020")</f>
        <v/>
      </c>
      <c r="X41">
        <f>HYPERLINK("https://klasma.github.io/Logging_0683/kartor/S 1545-2020 karta.png", "S 1545-2020")</f>
        <v/>
      </c>
      <c r="Y41">
        <f>HYPERLINK("https://klasma.github.io/Logging_0683/kartor_geotiff/S 1545-2020 georefererad karta.tif", "S 1545-2020")</f>
        <v/>
      </c>
      <c r="AA41">
        <f>HYPERLINK("https://klasma.github.io/Logging_0683/klagomål/S 1545-2020 FSC-klagomål.docx", "S 1545-2020")</f>
        <v/>
      </c>
      <c r="AB41">
        <f>HYPERLINK("https://klasma.github.io/Logging_0683/klagomålsmail/S 1545-2020 FSC-klagomål mail.docx", "S 1545-2020")</f>
        <v/>
      </c>
      <c r="AC41">
        <f>HYPERLINK("https://klasma.github.io/Logging_0683/tillsyn/S 1545-2020 tillsynsbegäran.docx", "S 1545-2020")</f>
        <v/>
      </c>
      <c r="AD41">
        <f>HYPERLINK("https://klasma.github.io/Logging_0683/tillsynsmail/S 1545-2020 tillsynsbegäran mail.docx", "S 1545-2020")</f>
        <v/>
      </c>
    </row>
    <row r="42" ht="15" customHeight="1">
      <c r="A42" t="inlineStr">
        <is>
          <t>S 1452-2024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45418</v>
      </c>
      <c r="E42" s="1" t="n">
        <v>46290</v>
      </c>
      <c r="F42" t="inlineStr">
        <is>
          <t>JÖNKÖPINGS LÄN</t>
        </is>
      </c>
      <c r="G42" t="inlineStr">
        <is>
          <t>VÄRNAMO</t>
        </is>
      </c>
      <c r="I42" t="n">
        <v>24.8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Borsttåg</t>
        </is>
      </c>
      <c r="W42">
        <f>HYPERLINK("https://klasma.github.io/Logging_0683/artfynd/S 1452-2024 artfynd.xlsx", "S 1452-2024")</f>
        <v/>
      </c>
      <c r="X42">
        <f>HYPERLINK("https://klasma.github.io/Logging_0683/kartor/S 1452-2024 karta.png", "S 1452-2024")</f>
        <v/>
      </c>
      <c r="Y42">
        <f>HYPERLINK("https://klasma.github.io/Logging_0683/kartor_geotiff/S 1452-2024 georefererad karta.tif", "S 1452-2024")</f>
        <v/>
      </c>
      <c r="AA42">
        <f>HYPERLINK("https://klasma.github.io/Logging_0683/klagomål/S 1452-2024 FSC-klagomål.docx", "S 1452-2024")</f>
        <v/>
      </c>
      <c r="AB42">
        <f>HYPERLINK("https://klasma.github.io/Logging_0683/klagomålsmail/S 1452-2024 FSC-klagomål mail.docx", "S 1452-2024")</f>
        <v/>
      </c>
      <c r="AC42">
        <f>HYPERLINK("https://klasma.github.io/Logging_0683/tillsyn/S 1452-2024 tillsynsbegäran.docx", "S 1452-2024")</f>
        <v/>
      </c>
      <c r="AD42">
        <f>HYPERLINK("https://klasma.github.io/Logging_0683/tillsynsmail/S 1452-2024 tillsynsbegäran mail.docx", "S 1452-2024")</f>
        <v/>
      </c>
    </row>
    <row r="43" ht="15" customHeight="1">
      <c r="A43" t="inlineStr">
        <is>
          <t>S 3469-2025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46290</v>
      </c>
      <c r="F43" t="inlineStr">
        <is>
          <t>JÖNKÖPINGS LÄN</t>
        </is>
      </c>
      <c r="G43" t="inlineStr">
        <is>
          <t>VÄRNAMO</t>
        </is>
      </c>
      <c r="I43" t="n">
        <v>70.2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Slåtterfibbla</t>
        </is>
      </c>
      <c r="W43">
        <f>HYPERLINK("https://klasma.github.io/Logging_0683/artfynd/S 3469-2025 artfynd.xlsx", "S 3469-2025")</f>
        <v/>
      </c>
      <c r="X43">
        <f>HYPERLINK("https://klasma.github.io/Logging_0683/kartor/S 3469-2025 karta.png", "S 3469-2025")</f>
        <v/>
      </c>
      <c r="Y43">
        <f>HYPERLINK("https://klasma.github.io/Logging_0683/kartor_geotiff/S 3469-2025 georefererad karta.tif", "S 3469-2025")</f>
        <v/>
      </c>
      <c r="AA43">
        <f>HYPERLINK("https://klasma.github.io/Logging_0683/klagomål/S 3469-2025 FSC-klagomål.docx", "S 3469-2025")</f>
        <v/>
      </c>
      <c r="AB43">
        <f>HYPERLINK("https://klasma.github.io/Logging_0683/klagomålsmail/S 3469-2025 FSC-klagomål mail.docx", "S 3469-2025")</f>
        <v/>
      </c>
      <c r="AC43">
        <f>HYPERLINK("https://klasma.github.io/Logging_0683/tillsyn/S 3469-2025 tillsynsbegäran.docx", "S 3469-2025")</f>
        <v/>
      </c>
      <c r="AD43">
        <f>HYPERLINK("https://klasma.github.io/Logging_0683/tillsynsmail/S 3469-2025 tillsynsbegäran mail.docx", "S 3469-2025")</f>
        <v/>
      </c>
    </row>
    <row r="44" ht="15" customHeight="1">
      <c r="A44" t="inlineStr">
        <is>
          <t>S 3470-2025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46000</v>
      </c>
      <c r="E44" s="1" t="n">
        <v>46290</v>
      </c>
      <c r="F44" t="inlineStr">
        <is>
          <t>JÖNKÖPINGS LÄN</t>
        </is>
      </c>
      <c r="G44" t="inlineStr">
        <is>
          <t>VÄRNAMO</t>
        </is>
      </c>
      <c r="H44" t="inlineStr">
        <is>
          <t>Kommuner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Västlig hakmossa</t>
        </is>
      </c>
      <c r="W44">
        <f>HYPERLINK("https://klasma.github.io/Logging_0683/artfynd/S 3470-2025 artfynd.xlsx", "S 3470-2025")</f>
        <v/>
      </c>
      <c r="X44">
        <f>HYPERLINK("https://klasma.github.io/Logging_0683/kartor/S 3470-2025 karta.png", "S 3470-2025")</f>
        <v/>
      </c>
      <c r="Y44">
        <f>HYPERLINK("https://klasma.github.io/Logging_0683/kartor_geotiff/S 3470-2025 georefererad karta.tif", "S 3470-2025")</f>
        <v/>
      </c>
      <c r="AA44">
        <f>HYPERLINK("https://klasma.github.io/Logging_0683/klagomål/S 3470-2025 FSC-klagomål.docx", "S 3470-2025")</f>
        <v/>
      </c>
      <c r="AB44">
        <f>HYPERLINK("https://klasma.github.io/Logging_0683/klagomålsmail/S 3470-2025 FSC-klagomål mail.docx", "S 3470-2025")</f>
        <v/>
      </c>
      <c r="AC44">
        <f>HYPERLINK("https://klasma.github.io/Logging_0683/tillsyn/S 3470-2025 tillsynsbegäran.docx", "S 3470-2025")</f>
        <v/>
      </c>
      <c r="AD44">
        <f>HYPERLINK("https://klasma.github.io/Logging_0683/tillsynsmail/S 3470-2025 tillsynsbegäran mail.docx", "S 3470-2025")</f>
        <v/>
      </c>
    </row>
    <row r="45" ht="15" customHeight="1">
      <c r="A45" t="inlineStr">
        <is>
          <t>S 2235-2026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46260</v>
      </c>
      <c r="E45" s="1" t="n">
        <v>46290</v>
      </c>
      <c r="F45" t="inlineStr">
        <is>
          <t>JÖNKÖPINGS LÄN</t>
        </is>
      </c>
      <c r="G45" t="inlineStr">
        <is>
          <t>VÄRNAMO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HYPERLINK("https://klasma.github.io/Logging_0683/artfynd/S 2235-2026 artfynd.xlsx", "S 2235-2026")</f>
        <v/>
      </c>
      <c r="X45">
        <f>HYPERLINK("https://klasma.github.io/Logging_0683/kartor/S 2235-2026 karta.png", "S 2235-2026")</f>
        <v/>
      </c>
      <c r="Y45">
        <f>HYPERLINK("https://klasma.github.io/Logging_0683/kartor_geotiff/S 2235-2026 georefererad karta.tif", "S 2235-2026")</f>
        <v/>
      </c>
      <c r="AA45">
        <f>HYPERLINK("https://klasma.github.io/Logging_0683/klagomål/S 2235-2026 FSC-klagomål.docx", "S 2235-2026")</f>
        <v/>
      </c>
      <c r="AB45">
        <f>HYPERLINK("https://klasma.github.io/Logging_0683/klagomålsmail/S 2235-2026 FSC-klagomål mail.docx", "S 2235-2026")</f>
        <v/>
      </c>
      <c r="AC45">
        <f>HYPERLINK("https://klasma.github.io/Logging_0683/tillsyn/S 2235-2026 tillsynsbegäran.docx", "S 2235-2026")</f>
        <v/>
      </c>
      <c r="AD45">
        <f>HYPERLINK("https://klasma.github.io/Logging_0683/tillsynsmail/S 2235-2026 tillsynsbegäran mail.docx", "S 2235-2026")</f>
        <v/>
      </c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46290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46290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46290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46290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46290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46290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46290</v>
      </c>
      <c r="F52" t="inlineStr">
        <is>
          <t>JÖNKÖPINGS LÄN</t>
        </is>
      </c>
      <c r="G52" t="inlineStr">
        <is>
          <t>VÄRNAMO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46290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46290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46290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46290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46290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46290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46290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46290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46290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46290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46290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46290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46290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46290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46290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46290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46290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46290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46290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46290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46290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46290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46290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46290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46290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46290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46290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46290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46290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46290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46290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46290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46290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46290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46290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46290</v>
      </c>
      <c r="F88" t="inlineStr">
        <is>
          <t>JÖNKÖPINGS LÄN</t>
        </is>
      </c>
      <c r="G88" t="inlineStr">
        <is>
          <t>VÄRNAMO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46290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46290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46290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46290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46290</v>
      </c>
      <c r="F93" t="inlineStr">
        <is>
          <t>JÖNKÖPINGS LÄN</t>
        </is>
      </c>
      <c r="G93" t="inlineStr">
        <is>
          <t>VÄRNAMO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46290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46290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46290</v>
      </c>
      <c r="F96" t="inlineStr">
        <is>
          <t>JÖNKÖPINGS LÄN</t>
        </is>
      </c>
      <c r="G96" t="inlineStr">
        <is>
          <t>VÄRNAMO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46290</v>
      </c>
      <c r="F97" t="inlineStr">
        <is>
          <t>JÖNKÖPINGS LÄN</t>
        </is>
      </c>
      <c r="G97" t="inlineStr">
        <is>
          <t>VÄRNAMO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46290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46290</v>
      </c>
      <c r="F99" t="inlineStr">
        <is>
          <t>JÖNKÖPINGS LÄN</t>
        </is>
      </c>
      <c r="G99" t="inlineStr">
        <is>
          <t>VÄRNAMO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45618</v>
      </c>
      <c r="E100" s="1" t="n">
        <v>46290</v>
      </c>
      <c r="F100" t="inlineStr">
        <is>
          <t>JÖNKÖPINGS LÄN</t>
        </is>
      </c>
      <c r="G100" t="inlineStr">
        <is>
          <t>VÄRNAMO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46290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46290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46290</v>
      </c>
      <c r="F103" t="inlineStr">
        <is>
          <t>JÖNKÖPINGS LÄN</t>
        </is>
      </c>
      <c r="G103" t="inlineStr">
        <is>
          <t>VÄRNAMO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46290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46290</v>
      </c>
      <c r="F105" t="inlineStr">
        <is>
          <t>JÖNKÖPINGS LÄN</t>
        </is>
      </c>
      <c r="G105" t="inlineStr">
        <is>
          <t>VÄRNAMO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46290</v>
      </c>
      <c r="F106" t="inlineStr">
        <is>
          <t>JÖNKÖPINGS LÄN</t>
        </is>
      </c>
      <c r="G106" t="inlineStr">
        <is>
          <t>VÄRNAMO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46290</v>
      </c>
      <c r="F107" t="inlineStr">
        <is>
          <t>JÖNKÖPINGS LÄN</t>
        </is>
      </c>
      <c r="G107" t="inlineStr">
        <is>
          <t>VÄRNAMO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46290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44869</v>
      </c>
      <c r="E109" s="1" t="n">
        <v>46290</v>
      </c>
      <c r="F109" t="inlineStr">
        <is>
          <t>JÖNKÖPINGS LÄN</t>
        </is>
      </c>
      <c r="G109" t="inlineStr">
        <is>
          <t>VÄRNAMO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46290</v>
      </c>
      <c r="F110" t="inlineStr">
        <is>
          <t>JÖNKÖPINGS LÄN</t>
        </is>
      </c>
      <c r="G110" t="inlineStr">
        <is>
          <t>VÄRNAMO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46290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46290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46290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24702-2022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44727</v>
      </c>
      <c r="E114" s="1" t="n">
        <v>46290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46290</v>
      </c>
      <c r="F115" t="inlineStr">
        <is>
          <t>JÖNKÖPINGS LÄN</t>
        </is>
      </c>
      <c r="G115" t="inlineStr">
        <is>
          <t>VÄRNAMO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45772</v>
      </c>
      <c r="E116" s="1" t="n">
        <v>46290</v>
      </c>
      <c r="F116" t="inlineStr">
        <is>
          <t>JÖNKÖPINGS LÄN</t>
        </is>
      </c>
      <c r="G116" t="inlineStr">
        <is>
          <t>VÄRNAMO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44595</v>
      </c>
      <c r="E117" s="1" t="n">
        <v>46290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46290</v>
      </c>
      <c r="F118" t="inlineStr">
        <is>
          <t>JÖNKÖPINGS LÄN</t>
        </is>
      </c>
      <c r="G118" t="inlineStr">
        <is>
          <t>VÄRNAMO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46290</v>
      </c>
      <c r="F119" t="inlineStr">
        <is>
          <t>JÖNKÖPINGS LÄN</t>
        </is>
      </c>
      <c r="G119" t="inlineStr">
        <is>
          <t>VÄRNAMO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46290</v>
      </c>
      <c r="F120" t="inlineStr">
        <is>
          <t>JÖNKÖPINGS LÄN</t>
        </is>
      </c>
      <c r="G120" t="inlineStr">
        <is>
          <t>VÄRNAMO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46290</v>
      </c>
      <c r="F121" t="inlineStr">
        <is>
          <t>JÖNKÖPINGS LÄN</t>
        </is>
      </c>
      <c r="G121" t="inlineStr">
        <is>
          <t>VÄRNAMO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46290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44943</v>
      </c>
      <c r="E123" s="1" t="n">
        <v>46290</v>
      </c>
      <c r="F123" t="inlineStr">
        <is>
          <t>JÖNKÖPINGS LÄN</t>
        </is>
      </c>
      <c r="G123" t="inlineStr">
        <is>
          <t>VÄRNAMO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46290</v>
      </c>
      <c r="F124" t="inlineStr">
        <is>
          <t>JÖNKÖPINGS LÄN</t>
        </is>
      </c>
      <c r="G124" t="inlineStr">
        <is>
          <t>VÄRNAMO</t>
        </is>
      </c>
      <c r="H124" t="inlineStr">
        <is>
          <t>Kyrkan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46290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46290</v>
      </c>
      <c r="F126" t="inlineStr">
        <is>
          <t>JÖNKÖPINGS LÄN</t>
        </is>
      </c>
      <c r="G126" t="inlineStr">
        <is>
          <t>VÄRNAMO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46290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46290</v>
      </c>
      <c r="F128" t="inlineStr">
        <is>
          <t>JÖNKÖPINGS LÄN</t>
        </is>
      </c>
      <c r="G128" t="inlineStr">
        <is>
          <t>VÄRNAMO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44909</v>
      </c>
      <c r="E129" s="1" t="n">
        <v>46290</v>
      </c>
      <c r="F129" t="inlineStr">
        <is>
          <t>JÖNKÖPINGS LÄN</t>
        </is>
      </c>
      <c r="G129" t="inlineStr">
        <is>
          <t>VÄRNAMO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46290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46290</v>
      </c>
      <c r="F131" t="inlineStr">
        <is>
          <t>JÖNKÖPINGS LÄN</t>
        </is>
      </c>
      <c r="G131" t="inlineStr">
        <is>
          <t>VÄRNAMO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29382-2024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46290</v>
      </c>
      <c r="F132" t="inlineStr">
        <is>
          <t>JÖNKÖPINGS LÄN</t>
        </is>
      </c>
      <c r="G132" t="inlineStr">
        <is>
          <t>VÄRNAMO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46290</v>
      </c>
      <c r="F133" t="inlineStr">
        <is>
          <t>JÖNKÖPINGS LÄN</t>
        </is>
      </c>
      <c r="G133" t="inlineStr">
        <is>
          <t>VÄRNAMO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45761</v>
      </c>
      <c r="E134" s="1" t="n">
        <v>46290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46290</v>
      </c>
      <c r="F135" t="inlineStr">
        <is>
          <t>JÖNKÖPINGS LÄN</t>
        </is>
      </c>
      <c r="G135" t="inlineStr">
        <is>
          <t>VÄRNAMO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46290</v>
      </c>
      <c r="F136" t="inlineStr">
        <is>
          <t>JÖNKÖPINGS LÄN</t>
        </is>
      </c>
      <c r="G136" t="inlineStr">
        <is>
          <t>VÄRNAMO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44851</v>
      </c>
      <c r="E137" s="1" t="n">
        <v>46290</v>
      </c>
      <c r="F137" t="inlineStr">
        <is>
          <t>JÖNKÖPINGS LÄN</t>
        </is>
      </c>
      <c r="G137" t="inlineStr">
        <is>
          <t>VÄRNAMO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46290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46290</v>
      </c>
      <c r="F139" t="inlineStr">
        <is>
          <t>JÖNKÖPINGS LÄN</t>
        </is>
      </c>
      <c r="G139" t="inlineStr">
        <is>
          <t>VÄRNAMO</t>
        </is>
      </c>
      <c r="H139" t="inlineStr">
        <is>
          <t>Övriga Aktiebolag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46290</v>
      </c>
      <c r="F140" t="inlineStr">
        <is>
          <t>JÖNKÖPINGS LÄN</t>
        </is>
      </c>
      <c r="G140" t="inlineStr">
        <is>
          <t>VÄRNAMO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46290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46290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46290</v>
      </c>
      <c r="F143" t="inlineStr">
        <is>
          <t>JÖNKÖPINGS LÄN</t>
        </is>
      </c>
      <c r="G143" t="inlineStr">
        <is>
          <t>VÄRNAMO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46290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44971</v>
      </c>
      <c r="E145" s="1" t="n">
        <v>46290</v>
      </c>
      <c r="F145" t="inlineStr">
        <is>
          <t>JÖNKÖPINGS LÄN</t>
        </is>
      </c>
      <c r="G145" t="inlineStr">
        <is>
          <t>VÄRNAMO</t>
        </is>
      </c>
      <c r="H145" t="inlineStr">
        <is>
          <t>Kommuner</t>
        </is>
      </c>
      <c r="I145" t="n">
        <v>12.9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46290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46290</v>
      </c>
      <c r="F147" t="inlineStr">
        <is>
          <t>JÖNKÖPINGS LÄN</t>
        </is>
      </c>
      <c r="G147" t="inlineStr">
        <is>
          <t>VÄRNAMO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46290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46290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45245</v>
      </c>
      <c r="E150" s="1" t="n">
        <v>46290</v>
      </c>
      <c r="F150" t="inlineStr">
        <is>
          <t>JÖNKÖPINGS LÄN</t>
        </is>
      </c>
      <c r="G150" t="inlineStr">
        <is>
          <t>VÄRNAMO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46290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45221</v>
      </c>
      <c r="E152" s="1" t="n">
        <v>46290</v>
      </c>
      <c r="F152" t="inlineStr">
        <is>
          <t>JÖNKÖPINGS LÄN</t>
        </is>
      </c>
      <c r="G152" t="inlineStr">
        <is>
          <t>VÄRNAMO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46290</v>
      </c>
      <c r="F153" t="inlineStr">
        <is>
          <t>JÖNKÖPINGS LÄN</t>
        </is>
      </c>
      <c r="G153" t="inlineStr">
        <is>
          <t>VÄRNAMO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46290</v>
      </c>
      <c r="F154" t="inlineStr">
        <is>
          <t>JÖNKÖPINGS LÄN</t>
        </is>
      </c>
      <c r="G154" t="inlineStr">
        <is>
          <t>VÄRNAMO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46290</v>
      </c>
      <c r="F155" t="inlineStr">
        <is>
          <t>JÖNKÖPINGS LÄN</t>
        </is>
      </c>
      <c r="G155" t="inlineStr">
        <is>
          <t>VÄRNAMO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46290</v>
      </c>
      <c r="F156" t="inlineStr">
        <is>
          <t>JÖNKÖPINGS LÄN</t>
        </is>
      </c>
      <c r="G156" t="inlineStr">
        <is>
          <t>VÄRNAMO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46290</v>
      </c>
      <c r="F157" t="inlineStr">
        <is>
          <t>JÖNKÖPINGS LÄN</t>
        </is>
      </c>
      <c r="G157" t="inlineStr">
        <is>
          <t>VÄRNAMO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46290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46290</v>
      </c>
      <c r="F159" t="inlineStr">
        <is>
          <t>JÖNKÖPINGS LÄN</t>
        </is>
      </c>
      <c r="G159" t="inlineStr">
        <is>
          <t>VÄRNAMO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46290</v>
      </c>
      <c r="F160" t="inlineStr">
        <is>
          <t>JÖNKÖPINGS LÄN</t>
        </is>
      </c>
      <c r="G160" t="inlineStr">
        <is>
          <t>VÄRNAMO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46290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46290</v>
      </c>
      <c r="F162" t="inlineStr">
        <is>
          <t>JÖNKÖPINGS LÄN</t>
        </is>
      </c>
      <c r="G162" t="inlineStr">
        <is>
          <t>VÄRNAMO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44577</v>
      </c>
      <c r="E163" s="1" t="n">
        <v>46290</v>
      </c>
      <c r="F163" t="inlineStr">
        <is>
          <t>JÖNKÖPINGS LÄN</t>
        </is>
      </c>
      <c r="G163" t="inlineStr">
        <is>
          <t>VÄRNAMO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44566</v>
      </c>
      <c r="E164" s="1" t="n">
        <v>46290</v>
      </c>
      <c r="F164" t="inlineStr">
        <is>
          <t>JÖNKÖPINGS LÄN</t>
        </is>
      </c>
      <c r="G164" t="inlineStr">
        <is>
          <t>VÄRNAMO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46290</v>
      </c>
      <c r="F165" t="inlineStr">
        <is>
          <t>JÖNKÖPINGS LÄN</t>
        </is>
      </c>
      <c r="G165" t="inlineStr">
        <is>
          <t>VÄRNAMO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44727</v>
      </c>
      <c r="E166" s="1" t="n">
        <v>46290</v>
      </c>
      <c r="F166" t="inlineStr">
        <is>
          <t>JÖNKÖPINGS LÄN</t>
        </is>
      </c>
      <c r="G166" t="inlineStr">
        <is>
          <t>VÄRNAMO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45069</v>
      </c>
      <c r="E167" s="1" t="n">
        <v>46290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46290</v>
      </c>
      <c r="F168" t="inlineStr">
        <is>
          <t>JÖNKÖPINGS LÄN</t>
        </is>
      </c>
      <c r="G168" t="inlineStr">
        <is>
          <t>VÄRNAMO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45590</v>
      </c>
      <c r="E169" s="1" t="n">
        <v>46290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62276-2023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45267</v>
      </c>
      <c r="E170" s="1" t="n">
        <v>46290</v>
      </c>
      <c r="F170" t="inlineStr">
        <is>
          <t>JÖNKÖPINGS LÄN</t>
        </is>
      </c>
      <c r="G170" t="inlineStr">
        <is>
          <t>VÄRNAMO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46290</v>
      </c>
      <c r="F171" t="inlineStr">
        <is>
          <t>JÖNKÖPINGS LÄN</t>
        </is>
      </c>
      <c r="G171" t="inlineStr">
        <is>
          <t>VÄRNAMO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46290</v>
      </c>
      <c r="F172" t="inlineStr">
        <is>
          <t>JÖNKÖPINGS LÄN</t>
        </is>
      </c>
      <c r="G172" t="inlineStr">
        <is>
          <t>VÄRNAMO</t>
        </is>
      </c>
      <c r="H172" t="inlineStr">
        <is>
          <t>Kommuner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45853</v>
      </c>
      <c r="E173" s="1" t="n">
        <v>46290</v>
      </c>
      <c r="F173" t="inlineStr">
        <is>
          <t>JÖNKÖPINGS LÄN</t>
        </is>
      </c>
      <c r="G173" t="inlineStr">
        <is>
          <t>VÄRNAMO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45802</v>
      </c>
      <c r="E174" s="1" t="n">
        <v>46290</v>
      </c>
      <c r="F174" t="inlineStr">
        <is>
          <t>JÖNKÖPINGS LÄN</t>
        </is>
      </c>
      <c r="G174" t="inlineStr">
        <is>
          <t>VÄRNAMO</t>
        </is>
      </c>
      <c r="H174" t="inlineStr">
        <is>
          <t>Övriga Aktiebolag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45873</v>
      </c>
      <c r="E175" s="1" t="n">
        <v>46290</v>
      </c>
      <c r="F175" t="inlineStr">
        <is>
          <t>JÖNKÖPINGS LÄN</t>
        </is>
      </c>
      <c r="G175" t="inlineStr">
        <is>
          <t>VÄRNAMO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46290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46290</v>
      </c>
      <c r="F177" t="inlineStr">
        <is>
          <t>JÖNKÖPINGS LÄN</t>
        </is>
      </c>
      <c r="G177" t="inlineStr">
        <is>
          <t>VÄRNAMO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46290</v>
      </c>
      <c r="F178" t="inlineStr">
        <is>
          <t>JÖNKÖPINGS LÄN</t>
        </is>
      </c>
      <c r="G178" t="inlineStr">
        <is>
          <t>VÄRNAMO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46290</v>
      </c>
      <c r="F179" t="inlineStr">
        <is>
          <t>JÖNKÖPINGS LÄN</t>
        </is>
      </c>
      <c r="G179" t="inlineStr">
        <is>
          <t>VÄRNAMO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46290</v>
      </c>
      <c r="F180" t="inlineStr">
        <is>
          <t>JÖNKÖPINGS LÄN</t>
        </is>
      </c>
      <c r="G180" t="inlineStr">
        <is>
          <t>VÄRNAMO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46290</v>
      </c>
      <c r="F181" t="inlineStr">
        <is>
          <t>JÖNKÖPINGS LÄN</t>
        </is>
      </c>
      <c r="G181" t="inlineStr">
        <is>
          <t>VÄRNAMO</t>
        </is>
      </c>
      <c r="I181" t="n">
        <v>14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46290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46290</v>
      </c>
      <c r="F183" t="inlineStr">
        <is>
          <t>JÖNKÖPINGS LÄN</t>
        </is>
      </c>
      <c r="G183" t="inlineStr">
        <is>
          <t>VÄRNAMO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46290</v>
      </c>
      <c r="F184" t="inlineStr">
        <is>
          <t>JÖNKÖPINGS LÄN</t>
        </is>
      </c>
      <c r="G184" t="inlineStr">
        <is>
          <t>VÄRNAMO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46290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46290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46290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46290</v>
      </c>
      <c r="F188" t="inlineStr">
        <is>
          <t>JÖNKÖPINGS LÄN</t>
        </is>
      </c>
      <c r="G188" t="inlineStr">
        <is>
          <t>VÄRNAMO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46290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46290</v>
      </c>
      <c r="F190" t="inlineStr">
        <is>
          <t>JÖNKÖPINGS LÄN</t>
        </is>
      </c>
      <c r="G190" t="inlineStr">
        <is>
          <t>VÄRNAMO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46290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45519</v>
      </c>
      <c r="E192" s="1" t="n">
        <v>46290</v>
      </c>
      <c r="F192" t="inlineStr">
        <is>
          <t>JÖNKÖPINGS LÄN</t>
        </is>
      </c>
      <c r="G192" t="inlineStr">
        <is>
          <t>VÄRNAMO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46290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46290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46290</v>
      </c>
      <c r="F195" t="inlineStr">
        <is>
          <t>JÖNKÖPINGS LÄN</t>
        </is>
      </c>
      <c r="G195" t="inlineStr">
        <is>
          <t>VÄRNAMO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45324</v>
      </c>
      <c r="E196" s="1" t="n">
        <v>46290</v>
      </c>
      <c r="F196" t="inlineStr">
        <is>
          <t>JÖNKÖPINGS LÄN</t>
        </is>
      </c>
      <c r="G196" t="inlineStr">
        <is>
          <t>VÄRNAMO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46290</v>
      </c>
      <c r="F197" t="inlineStr">
        <is>
          <t>JÖNKÖPINGS LÄN</t>
        </is>
      </c>
      <c r="G197" t="inlineStr">
        <is>
          <t>VÄRNAMO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46290</v>
      </c>
      <c r="F198" t="inlineStr">
        <is>
          <t>JÖNKÖPINGS LÄN</t>
        </is>
      </c>
      <c r="G198" t="inlineStr">
        <is>
          <t>VÄRNAMO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46290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46290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46290</v>
      </c>
      <c r="F201" t="inlineStr">
        <is>
          <t>JÖNKÖPINGS LÄN</t>
        </is>
      </c>
      <c r="G201" t="inlineStr">
        <is>
          <t>VÄRNAMO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59757-2021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46290</v>
      </c>
      <c r="F202" t="inlineStr">
        <is>
          <t>JÖNKÖPINGS LÄN</t>
        </is>
      </c>
      <c r="G202" t="inlineStr">
        <is>
          <t>VÄRNAMO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44853</v>
      </c>
      <c r="E203" s="1" t="n">
        <v>46290</v>
      </c>
      <c r="F203" t="inlineStr">
        <is>
          <t>JÖNKÖPINGS LÄN</t>
        </is>
      </c>
      <c r="G203" t="inlineStr">
        <is>
          <t>VÄRNAMO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47987-2022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44853</v>
      </c>
      <c r="E204" s="1" t="n">
        <v>46290</v>
      </c>
      <c r="F204" t="inlineStr">
        <is>
          <t>JÖNKÖPINGS LÄN</t>
        </is>
      </c>
      <c r="G204" t="inlineStr">
        <is>
          <t>VÄRNAMO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46290</v>
      </c>
      <c r="F205" t="inlineStr">
        <is>
          <t>JÖNKÖPINGS LÄN</t>
        </is>
      </c>
      <c r="G205" t="inlineStr">
        <is>
          <t>VÄRNAMO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46290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23836-2022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46290</v>
      </c>
      <c r="F207" t="inlineStr">
        <is>
          <t>JÖNKÖPINGS LÄN</t>
        </is>
      </c>
      <c r="G207" t="inlineStr">
        <is>
          <t>VÄRNAMO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46290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46290</v>
      </c>
      <c r="F209" t="inlineStr">
        <is>
          <t>JÖNKÖPINGS LÄN</t>
        </is>
      </c>
      <c r="G209" t="inlineStr">
        <is>
          <t>VÄRNAMO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46290</v>
      </c>
      <c r="F210" t="inlineStr">
        <is>
          <t>JÖNKÖPINGS LÄN</t>
        </is>
      </c>
      <c r="G210" t="inlineStr">
        <is>
          <t>VÄRNAMO</t>
        </is>
      </c>
      <c r="H210" t="inlineStr">
        <is>
          <t>Övriga Aktiebolag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46290</v>
      </c>
      <c r="F211" t="inlineStr">
        <is>
          <t>JÖNKÖPINGS LÄN</t>
        </is>
      </c>
      <c r="G211" t="inlineStr">
        <is>
          <t>VÄRNAMO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46290</v>
      </c>
      <c r="F212" t="inlineStr">
        <is>
          <t>JÖNKÖPINGS LÄN</t>
        </is>
      </c>
      <c r="G212" t="inlineStr">
        <is>
          <t>VÄRNAMO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54000-2021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46290</v>
      </c>
      <c r="F213" t="inlineStr">
        <is>
          <t>JÖNKÖPINGS LÄN</t>
        </is>
      </c>
      <c r="G213" t="inlineStr">
        <is>
          <t>VÄRNAMO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45509</v>
      </c>
      <c r="E214" s="1" t="n">
        <v>46290</v>
      </c>
      <c r="F214" t="inlineStr">
        <is>
          <t>JÖNKÖPINGS LÄN</t>
        </is>
      </c>
      <c r="G214" t="inlineStr">
        <is>
          <t>VÄRNAMO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46290</v>
      </c>
      <c r="F215" t="inlineStr">
        <is>
          <t>JÖNKÖPINGS LÄN</t>
        </is>
      </c>
      <c r="G215" t="inlineStr">
        <is>
          <t>VÄRNAMO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46290</v>
      </c>
      <c r="F216" t="inlineStr">
        <is>
          <t>JÖNKÖPINGS LÄN</t>
        </is>
      </c>
      <c r="G216" t="inlineStr">
        <is>
          <t>VÄRNAMO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46290</v>
      </c>
      <c r="F217" t="inlineStr">
        <is>
          <t>JÖNKÖPINGS LÄN</t>
        </is>
      </c>
      <c r="G217" t="inlineStr">
        <is>
          <t>VÄRNAMO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46290</v>
      </c>
      <c r="F218" t="inlineStr">
        <is>
          <t>JÖNKÖPINGS LÄN</t>
        </is>
      </c>
      <c r="G218" t="inlineStr">
        <is>
          <t>VÄRNAMO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46290</v>
      </c>
      <c r="F219" t="inlineStr">
        <is>
          <t>JÖNKÖPINGS LÄN</t>
        </is>
      </c>
      <c r="G219" t="inlineStr">
        <is>
          <t>VÄRNAMO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46290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46290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40486-2022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44823</v>
      </c>
      <c r="E222" s="1" t="n">
        <v>46290</v>
      </c>
      <c r="F222" t="inlineStr">
        <is>
          <t>JÖNKÖPINGS LÄN</t>
        </is>
      </c>
      <c r="G222" t="inlineStr">
        <is>
          <t>VÄRNAMO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46290</v>
      </c>
      <c r="F223" t="inlineStr">
        <is>
          <t>JÖNKÖPINGS LÄN</t>
        </is>
      </c>
      <c r="G223" t="inlineStr">
        <is>
          <t>VÄRNAMO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46290</v>
      </c>
      <c r="F224" t="inlineStr">
        <is>
          <t>JÖNKÖPINGS LÄN</t>
        </is>
      </c>
      <c r="G224" t="inlineStr">
        <is>
          <t>VÄRNAMO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46290</v>
      </c>
      <c r="F225" t="inlineStr">
        <is>
          <t>JÖNKÖPINGS LÄN</t>
        </is>
      </c>
      <c r="G225" t="inlineStr">
        <is>
          <t>VÄRNAMO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46290</v>
      </c>
      <c r="F226" t="inlineStr">
        <is>
          <t>JÖNKÖPINGS LÄN</t>
        </is>
      </c>
      <c r="G226" t="inlineStr">
        <is>
          <t>VÄRNAMO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46290</v>
      </c>
      <c r="F227" t="inlineStr">
        <is>
          <t>JÖNKÖPINGS LÄN</t>
        </is>
      </c>
      <c r="G227" t="inlineStr">
        <is>
          <t>VÄRNAMO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45124</v>
      </c>
      <c r="E228" s="1" t="n">
        <v>46290</v>
      </c>
      <c r="F228" t="inlineStr">
        <is>
          <t>JÖNKÖPINGS LÄN</t>
        </is>
      </c>
      <c r="G228" t="inlineStr">
        <is>
          <t>VÄRNAMO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46290</v>
      </c>
      <c r="F229" t="inlineStr">
        <is>
          <t>JÖNKÖPINGS LÄN</t>
        </is>
      </c>
      <c r="G229" t="inlineStr">
        <is>
          <t>VÄRNAMO</t>
        </is>
      </c>
      <c r="H229" t="inlineStr">
        <is>
          <t>Kommuner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46290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54519-2021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46290</v>
      </c>
      <c r="F231" t="inlineStr">
        <is>
          <t>JÖNKÖPINGS LÄN</t>
        </is>
      </c>
      <c r="G231" t="inlineStr">
        <is>
          <t>VÄRNAMO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45873</v>
      </c>
      <c r="E232" s="1" t="n">
        <v>46290</v>
      </c>
      <c r="F232" t="inlineStr">
        <is>
          <t>JÖNKÖPINGS LÄN</t>
        </is>
      </c>
      <c r="G232" t="inlineStr">
        <is>
          <t>VÄRNAMO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46290</v>
      </c>
      <c r="F233" t="inlineStr">
        <is>
          <t>JÖNKÖPINGS LÄN</t>
        </is>
      </c>
      <c r="G233" t="inlineStr">
        <is>
          <t>VÄRNAMO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46290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46290</v>
      </c>
      <c r="F235" t="inlineStr">
        <is>
          <t>JÖNKÖPINGS LÄN</t>
        </is>
      </c>
      <c r="G235" t="inlineStr">
        <is>
          <t>VÄRNAMO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45274</v>
      </c>
      <c r="E236" s="1" t="n">
        <v>46290</v>
      </c>
      <c r="F236" t="inlineStr">
        <is>
          <t>JÖNKÖPINGS LÄN</t>
        </is>
      </c>
      <c r="G236" t="inlineStr">
        <is>
          <t>VÄRNAMO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46290</v>
      </c>
      <c r="F237" t="inlineStr">
        <is>
          <t>JÖNKÖPINGS LÄN</t>
        </is>
      </c>
      <c r="G237" t="inlineStr">
        <is>
          <t>VÄRNAMO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46290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33315-2025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45841</v>
      </c>
      <c r="E239" s="1" t="n">
        <v>46290</v>
      </c>
      <c r="F239" t="inlineStr">
        <is>
          <t>JÖNKÖPINGS LÄN</t>
        </is>
      </c>
      <c r="G239" t="inlineStr">
        <is>
          <t>VÄRNAMO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53473-2025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45959</v>
      </c>
      <c r="E240" s="1" t="n">
        <v>46290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45785</v>
      </c>
      <c r="E241" s="1" t="n">
        <v>46290</v>
      </c>
      <c r="F241" t="inlineStr">
        <is>
          <t>JÖNKÖPINGS LÄN</t>
        </is>
      </c>
      <c r="G241" t="inlineStr">
        <is>
          <t>VÄRNAMO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46290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46290</v>
      </c>
      <c r="F243" t="inlineStr">
        <is>
          <t>JÖNKÖPINGS LÄN</t>
        </is>
      </c>
      <c r="G243" t="inlineStr">
        <is>
          <t>VÄRNAMO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46290</v>
      </c>
      <c r="F244" t="inlineStr">
        <is>
          <t>JÖNKÖPINGS LÄN</t>
        </is>
      </c>
      <c r="G244" t="inlineStr">
        <is>
          <t>VÄRNAMO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46290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46290</v>
      </c>
      <c r="F246" t="inlineStr">
        <is>
          <t>JÖNKÖPINGS LÄN</t>
        </is>
      </c>
      <c r="G246" t="inlineStr">
        <is>
          <t>VÄRNAMO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45044</v>
      </c>
      <c r="E247" s="1" t="n">
        <v>46290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46290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46290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46290</v>
      </c>
      <c r="F250" t="inlineStr">
        <is>
          <t>JÖNKÖPINGS LÄN</t>
        </is>
      </c>
      <c r="G250" t="inlineStr">
        <is>
          <t>VÄRNAMO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46290</v>
      </c>
      <c r="F251" t="inlineStr">
        <is>
          <t>JÖNKÖPINGS LÄN</t>
        </is>
      </c>
      <c r="G251" t="inlineStr">
        <is>
          <t>VÄRNAMO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46290</v>
      </c>
      <c r="F252" t="inlineStr">
        <is>
          <t>JÖNKÖPINGS LÄN</t>
        </is>
      </c>
      <c r="G252" t="inlineStr">
        <is>
          <t>VÄRNAMO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46290</v>
      </c>
      <c r="F253" t="inlineStr">
        <is>
          <t>JÖNKÖPINGS LÄN</t>
        </is>
      </c>
      <c r="G253" t="inlineStr">
        <is>
          <t>VÄRNAMO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46290</v>
      </c>
      <c r="F254" t="inlineStr">
        <is>
          <t>JÖNKÖPINGS LÄN</t>
        </is>
      </c>
      <c r="G254" t="inlineStr">
        <is>
          <t>VÄRNAMO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46290</v>
      </c>
      <c r="F255" t="inlineStr">
        <is>
          <t>JÖNKÖPINGS LÄN</t>
        </is>
      </c>
      <c r="G255" t="inlineStr">
        <is>
          <t>VÄRNAMO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46290</v>
      </c>
      <c r="F256" t="inlineStr">
        <is>
          <t>JÖNKÖPINGS LÄN</t>
        </is>
      </c>
      <c r="G256" t="inlineStr">
        <is>
          <t>VÄRNAMO</t>
        </is>
      </c>
      <c r="H256" t="inlineStr">
        <is>
          <t>Kommuner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46290</v>
      </c>
      <c r="F257" t="inlineStr">
        <is>
          <t>JÖNKÖPINGS LÄN</t>
        </is>
      </c>
      <c r="G257" t="inlineStr">
        <is>
          <t>VÄRNAMO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46290</v>
      </c>
      <c r="F258" t="inlineStr">
        <is>
          <t>JÖNKÖPINGS LÄN</t>
        </is>
      </c>
      <c r="G258" t="inlineStr">
        <is>
          <t>VÄRNAMO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46290</v>
      </c>
      <c r="F259" t="inlineStr">
        <is>
          <t>JÖNKÖPINGS LÄN</t>
        </is>
      </c>
      <c r="G259" t="inlineStr">
        <is>
          <t>VÄRNAMO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46290</v>
      </c>
      <c r="F260" t="inlineStr">
        <is>
          <t>JÖNKÖPINGS LÄN</t>
        </is>
      </c>
      <c r="G260" t="inlineStr">
        <is>
          <t>VÄRNAMO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45509</v>
      </c>
      <c r="E261" s="1" t="n">
        <v>46290</v>
      </c>
      <c r="F261" t="inlineStr">
        <is>
          <t>JÖNKÖPINGS LÄN</t>
        </is>
      </c>
      <c r="G261" t="inlineStr">
        <is>
          <t>VÄRNAMO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46290</v>
      </c>
      <c r="F262" t="inlineStr">
        <is>
          <t>JÖNKÖPINGS LÄN</t>
        </is>
      </c>
      <c r="G262" t="inlineStr">
        <is>
          <t>VÄRNAMO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46290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46290</v>
      </c>
      <c r="F264" t="inlineStr">
        <is>
          <t>JÖNKÖPINGS LÄN</t>
        </is>
      </c>
      <c r="G264" t="inlineStr">
        <is>
          <t>VÄRNAMO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46290</v>
      </c>
      <c r="F265" t="inlineStr">
        <is>
          <t>JÖNKÖPINGS LÄN</t>
        </is>
      </c>
      <c r="G265" t="inlineStr">
        <is>
          <t>VÄRNAMO</t>
        </is>
      </c>
      <c r="H265" t="inlineStr">
        <is>
          <t>Kommuner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46290</v>
      </c>
      <c r="F266" t="inlineStr">
        <is>
          <t>JÖNKÖPINGS LÄN</t>
        </is>
      </c>
      <c r="G266" t="inlineStr">
        <is>
          <t>VÄRNAMO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46290</v>
      </c>
      <c r="F267" t="inlineStr">
        <is>
          <t>JÖNKÖPINGS LÄN</t>
        </is>
      </c>
      <c r="G267" t="inlineStr">
        <is>
          <t>VÄRNAMO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54477-2022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44882</v>
      </c>
      <c r="E268" s="1" t="n">
        <v>46290</v>
      </c>
      <c r="F268" t="inlineStr">
        <is>
          <t>JÖNKÖPINGS LÄN</t>
        </is>
      </c>
      <c r="G268" t="inlineStr">
        <is>
          <t>VÄRNAMO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46290</v>
      </c>
      <c r="F269" t="inlineStr">
        <is>
          <t>JÖNKÖPINGS LÄN</t>
        </is>
      </c>
      <c r="G269" t="inlineStr">
        <is>
          <t>VÄRNAMO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56409-2025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46290</v>
      </c>
      <c r="F270" t="inlineStr">
        <is>
          <t>JÖNKÖPINGS LÄN</t>
        </is>
      </c>
      <c r="G270" t="inlineStr">
        <is>
          <t>VÄRNAMO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46290</v>
      </c>
      <c r="F271" t="inlineStr">
        <is>
          <t>JÖNKÖPINGS LÄN</t>
        </is>
      </c>
      <c r="G271" t="inlineStr">
        <is>
          <t>VÄRNAMO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46290</v>
      </c>
      <c r="F272" t="inlineStr">
        <is>
          <t>JÖNKÖPINGS LÄN</t>
        </is>
      </c>
      <c r="G272" t="inlineStr">
        <is>
          <t>VÄRNAMO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46290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45105</v>
      </c>
      <c r="E274" s="1" t="n">
        <v>46290</v>
      </c>
      <c r="F274" t="inlineStr">
        <is>
          <t>JÖNKÖPINGS LÄN</t>
        </is>
      </c>
      <c r="G274" t="inlineStr">
        <is>
          <t>VÄRNAMO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45105</v>
      </c>
      <c r="E275" s="1" t="n">
        <v>46290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46290</v>
      </c>
      <c r="F276" t="inlineStr">
        <is>
          <t>JÖNKÖPINGS LÄN</t>
        </is>
      </c>
      <c r="G276" t="inlineStr">
        <is>
          <t>VÄRNAMO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46290</v>
      </c>
      <c r="F277" t="inlineStr">
        <is>
          <t>JÖNKÖPINGS LÄN</t>
        </is>
      </c>
      <c r="G277" t="inlineStr">
        <is>
          <t>VÄRNAMO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46290</v>
      </c>
      <c r="F278" t="inlineStr">
        <is>
          <t>JÖNKÖPINGS LÄN</t>
        </is>
      </c>
      <c r="G278" t="inlineStr">
        <is>
          <t>VÄRNAMO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46290</v>
      </c>
      <c r="F279" t="inlineStr">
        <is>
          <t>JÖNKÖPINGS LÄN</t>
        </is>
      </c>
      <c r="G279" t="inlineStr">
        <is>
          <t>VÄRNAMO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46290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45221</v>
      </c>
      <c r="E281" s="1" t="n">
        <v>46290</v>
      </c>
      <c r="F281" t="inlineStr">
        <is>
          <t>JÖNKÖPINGS LÄN</t>
        </is>
      </c>
      <c r="G281" t="inlineStr">
        <is>
          <t>VÄRNAMO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60097-2024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46290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44970</v>
      </c>
      <c r="E283" s="1" t="n">
        <v>46290</v>
      </c>
      <c r="F283" t="inlineStr">
        <is>
          <t>JÖNKÖPINGS LÄN</t>
        </is>
      </c>
      <c r="G283" t="inlineStr">
        <is>
          <t>VÄRNAMO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45272</v>
      </c>
      <c r="E284" s="1" t="n">
        <v>46290</v>
      </c>
      <c r="F284" t="inlineStr">
        <is>
          <t>JÖNKÖPINGS LÄN</t>
        </is>
      </c>
      <c r="G284" t="inlineStr">
        <is>
          <t>VÄRNAMO</t>
        </is>
      </c>
      <c r="H284" t="inlineStr">
        <is>
          <t>Kommuner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46290</v>
      </c>
      <c r="F285" t="inlineStr">
        <is>
          <t>JÖNKÖPINGS LÄN</t>
        </is>
      </c>
      <c r="G285" t="inlineStr">
        <is>
          <t>VÄRNAMO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45987</v>
      </c>
      <c r="E286" s="1" t="n">
        <v>46290</v>
      </c>
      <c r="F286" t="inlineStr">
        <is>
          <t>JÖNKÖPINGS LÄN</t>
        </is>
      </c>
      <c r="G286" t="inlineStr">
        <is>
          <t>VÄRNAMO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46290</v>
      </c>
      <c r="F287" t="inlineStr">
        <is>
          <t>JÖNKÖPINGS LÄN</t>
        </is>
      </c>
      <c r="G287" t="inlineStr">
        <is>
          <t>VÄRNAMO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45369</v>
      </c>
      <c r="E288" s="1" t="n">
        <v>46290</v>
      </c>
      <c r="F288" t="inlineStr">
        <is>
          <t>JÖNKÖPINGS LÄN</t>
        </is>
      </c>
      <c r="G288" t="inlineStr">
        <is>
          <t>VÄRNAMO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44998</v>
      </c>
      <c r="E289" s="1" t="n">
        <v>46290</v>
      </c>
      <c r="F289" t="inlineStr">
        <is>
          <t>JÖNKÖPINGS LÄN</t>
        </is>
      </c>
      <c r="G289" t="inlineStr">
        <is>
          <t>VÄRNAMO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46290</v>
      </c>
      <c r="F290" t="inlineStr">
        <is>
          <t>JÖNKÖPINGS LÄN</t>
        </is>
      </c>
      <c r="G290" t="inlineStr">
        <is>
          <t>VÄRNAMO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46290</v>
      </c>
      <c r="F291" t="inlineStr">
        <is>
          <t>JÖNKÖPINGS LÄN</t>
        </is>
      </c>
      <c r="G291" t="inlineStr">
        <is>
          <t>VÄRNAMO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46290</v>
      </c>
      <c r="F292" t="inlineStr">
        <is>
          <t>JÖNKÖPINGS LÄN</t>
        </is>
      </c>
      <c r="G292" t="inlineStr">
        <is>
          <t>VÄRNAMO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46290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46290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7727-2022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44608</v>
      </c>
      <c r="E295" s="1" t="n">
        <v>46290</v>
      </c>
      <c r="F295" t="inlineStr">
        <is>
          <t>JÖNKÖPINGS LÄN</t>
        </is>
      </c>
      <c r="G295" t="inlineStr">
        <is>
          <t>VÄRNAMO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46290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42575-2022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46290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46290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46290</v>
      </c>
      <c r="F299" t="inlineStr">
        <is>
          <t>JÖNKÖPINGS LÄN</t>
        </is>
      </c>
      <c r="G299" t="inlineStr">
        <is>
          <t>VÄRNAMO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8968-2024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45357</v>
      </c>
      <c r="E300" s="1" t="n">
        <v>46290</v>
      </c>
      <c r="F300" t="inlineStr">
        <is>
          <t>JÖNKÖPINGS LÄN</t>
        </is>
      </c>
      <c r="G300" t="inlineStr">
        <is>
          <t>VÄRNAMO</t>
        </is>
      </c>
      <c r="H300" t="inlineStr">
        <is>
          <t>Sveaskog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46290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46290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44642</v>
      </c>
      <c r="E303" s="1" t="n">
        <v>46290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46290</v>
      </c>
      <c r="F304" t="inlineStr">
        <is>
          <t>JÖNKÖPINGS LÄN</t>
        </is>
      </c>
      <c r="G304" t="inlineStr">
        <is>
          <t>VÄRNAMO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45718</v>
      </c>
      <c r="E305" s="1" t="n">
        <v>46290</v>
      </c>
      <c r="F305" t="inlineStr">
        <is>
          <t>JÖNKÖPINGS LÄN</t>
        </is>
      </c>
      <c r="G305" t="inlineStr">
        <is>
          <t>VÄRNAMO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46290</v>
      </c>
      <c r="F306" t="inlineStr">
        <is>
          <t>JÖNKÖPINGS LÄN</t>
        </is>
      </c>
      <c r="G306" t="inlineStr">
        <is>
          <t>VÄRNAMO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46290</v>
      </c>
      <c r="F307" t="inlineStr">
        <is>
          <t>JÖNKÖPINGS LÄN</t>
        </is>
      </c>
      <c r="G307" t="inlineStr">
        <is>
          <t>VÄRNAMO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46290</v>
      </c>
      <c r="F308" t="inlineStr">
        <is>
          <t>JÖNKÖPINGS LÄN</t>
        </is>
      </c>
      <c r="G308" t="inlineStr">
        <is>
          <t>VÄRNAMO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46290</v>
      </c>
      <c r="F309" t="inlineStr">
        <is>
          <t>JÖNKÖPINGS LÄN</t>
        </is>
      </c>
      <c r="G309" t="inlineStr">
        <is>
          <t>VÄRNAMO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45496</v>
      </c>
      <c r="E310" s="1" t="n">
        <v>46290</v>
      </c>
      <c r="F310" t="inlineStr">
        <is>
          <t>JÖNKÖPINGS LÄN</t>
        </is>
      </c>
      <c r="G310" t="inlineStr">
        <is>
          <t>VÄRNAMO</t>
        </is>
      </c>
      <c r="H310" t="inlineStr">
        <is>
          <t>Kommuner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46290</v>
      </c>
      <c r="F311" t="inlineStr">
        <is>
          <t>JÖNKÖPINGS LÄN</t>
        </is>
      </c>
      <c r="G311" t="inlineStr">
        <is>
          <t>VÄRNAMO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46290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44985</v>
      </c>
      <c r="E313" s="1" t="n">
        <v>46290</v>
      </c>
      <c r="F313" t="inlineStr">
        <is>
          <t>JÖNKÖPINGS LÄN</t>
        </is>
      </c>
      <c r="G313" t="inlineStr">
        <is>
          <t>VÄRNAMO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45021</v>
      </c>
      <c r="E314" s="1" t="n">
        <v>46290</v>
      </c>
      <c r="F314" t="inlineStr">
        <is>
          <t>JÖNKÖPINGS LÄN</t>
        </is>
      </c>
      <c r="G314" t="inlineStr">
        <is>
          <t>VÄRNAMO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45401</v>
      </c>
      <c r="E315" s="1" t="n">
        <v>46290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74102-2021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44557</v>
      </c>
      <c r="E316" s="1" t="n">
        <v>46290</v>
      </c>
      <c r="F316" t="inlineStr">
        <is>
          <t>JÖNKÖPINGS LÄN</t>
        </is>
      </c>
      <c r="G316" t="inlineStr">
        <is>
          <t>VÄRNAMO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46290</v>
      </c>
      <c r="F317" t="inlineStr">
        <is>
          <t>JÖNKÖPINGS LÄN</t>
        </is>
      </c>
      <c r="G317" t="inlineStr">
        <is>
          <t>VÄRNAMO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46290</v>
      </c>
      <c r="F318" t="inlineStr">
        <is>
          <t>JÖNKÖPINGS LÄN</t>
        </is>
      </c>
      <c r="G318" t="inlineStr">
        <is>
          <t>VÄRNAMO</t>
        </is>
      </c>
      <c r="H318" t="inlineStr">
        <is>
          <t>Övriga Aktiebolag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45029</v>
      </c>
      <c r="E319" s="1" t="n">
        <v>46290</v>
      </c>
      <c r="F319" t="inlineStr">
        <is>
          <t>JÖNKÖPINGS LÄN</t>
        </is>
      </c>
      <c r="G319" t="inlineStr">
        <is>
          <t>VÄRNAMO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45734</v>
      </c>
      <c r="E320" s="1" t="n">
        <v>46290</v>
      </c>
      <c r="F320" t="inlineStr">
        <is>
          <t>JÖNKÖPINGS LÄN</t>
        </is>
      </c>
      <c r="G320" t="inlineStr">
        <is>
          <t>VÄRNAMO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46160</v>
      </c>
      <c r="E321" s="1" t="n">
        <v>46290</v>
      </c>
      <c r="F321" t="inlineStr">
        <is>
          <t>JÖNKÖPINGS LÄN</t>
        </is>
      </c>
      <c r="G321" t="inlineStr">
        <is>
          <t>VÄRNAMO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46029</v>
      </c>
      <c r="E322" s="1" t="n">
        <v>46290</v>
      </c>
      <c r="F322" t="inlineStr">
        <is>
          <t>JÖNKÖPINGS LÄN</t>
        </is>
      </c>
      <c r="G322" t="inlineStr">
        <is>
          <t>VÄRNAMO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71233-2021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44539</v>
      </c>
      <c r="E323" s="1" t="n">
        <v>46290</v>
      </c>
      <c r="F323" t="inlineStr">
        <is>
          <t>JÖNKÖPINGS LÄN</t>
        </is>
      </c>
      <c r="G323" t="inlineStr">
        <is>
          <t>VÄRNAMO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46290</v>
      </c>
      <c r="F324" t="inlineStr">
        <is>
          <t>JÖNKÖPINGS LÄN</t>
        </is>
      </c>
      <c r="G324" t="inlineStr">
        <is>
          <t>VÄRNAMO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46290</v>
      </c>
      <c r="F325" t="inlineStr">
        <is>
          <t>JÖNKÖPINGS LÄN</t>
        </is>
      </c>
      <c r="G325" t="inlineStr">
        <is>
          <t>VÄRNAMO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46290</v>
      </c>
      <c r="F326" t="inlineStr">
        <is>
          <t>JÖNKÖPINGS LÄN</t>
        </is>
      </c>
      <c r="G326" t="inlineStr">
        <is>
          <t>VÄRNAMO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46290</v>
      </c>
      <c r="F327" t="inlineStr">
        <is>
          <t>JÖNKÖPINGS LÄN</t>
        </is>
      </c>
      <c r="G327" t="inlineStr">
        <is>
          <t>VÄRNAMO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46290</v>
      </c>
      <c r="F328" t="inlineStr">
        <is>
          <t>JÖNKÖPINGS LÄN</t>
        </is>
      </c>
      <c r="G328" t="inlineStr">
        <is>
          <t>VÄRNAMO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46290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46290</v>
      </c>
      <c r="F330" t="inlineStr">
        <is>
          <t>JÖNKÖPINGS LÄN</t>
        </is>
      </c>
      <c r="G330" t="inlineStr">
        <is>
          <t>VÄRNAMO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46290</v>
      </c>
      <c r="F331" t="inlineStr">
        <is>
          <t>JÖNKÖPINGS LÄN</t>
        </is>
      </c>
      <c r="G331" t="inlineStr">
        <is>
          <t>VÄRNAMO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46290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46290</v>
      </c>
      <c r="F333" t="inlineStr">
        <is>
          <t>JÖNKÖPINGS LÄN</t>
        </is>
      </c>
      <c r="G333" t="inlineStr">
        <is>
          <t>VÄRNAMO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46290</v>
      </c>
      <c r="F334" t="inlineStr">
        <is>
          <t>JÖNKÖPINGS LÄN</t>
        </is>
      </c>
      <c r="G334" t="inlineStr">
        <is>
          <t>VÄRNAMO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52104-2024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45608</v>
      </c>
      <c r="E335" s="1" t="n">
        <v>46290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46290</v>
      </c>
      <c r="F336" t="inlineStr">
        <is>
          <t>JÖNKÖPINGS LÄN</t>
        </is>
      </c>
      <c r="G336" t="inlineStr">
        <is>
          <t>VÄRNAMO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45558</v>
      </c>
      <c r="E337" s="1" t="n">
        <v>46290</v>
      </c>
      <c r="F337" t="inlineStr">
        <is>
          <t>JÖNKÖPINGS LÄN</t>
        </is>
      </c>
      <c r="G337" t="inlineStr">
        <is>
          <t>VÄRNAMO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46290</v>
      </c>
      <c r="F338" t="inlineStr">
        <is>
          <t>JÖNKÖPINGS LÄN</t>
        </is>
      </c>
      <c r="G338" t="inlineStr">
        <is>
          <t>VÄRNAMO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46290</v>
      </c>
      <c r="F339" t="inlineStr">
        <is>
          <t>JÖNKÖPINGS LÄN</t>
        </is>
      </c>
      <c r="G339" t="inlineStr">
        <is>
          <t>VÄRNAMO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46290</v>
      </c>
      <c r="F340" t="inlineStr">
        <is>
          <t>JÖNKÖPINGS LÄN</t>
        </is>
      </c>
      <c r="G340" t="inlineStr">
        <is>
          <t>VÄRNAMO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46290</v>
      </c>
      <c r="F341" t="inlineStr">
        <is>
          <t>JÖNKÖPINGS LÄN</t>
        </is>
      </c>
      <c r="G341" t="inlineStr">
        <is>
          <t>VÄRNAMO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46290</v>
      </c>
      <c r="F342" t="inlineStr">
        <is>
          <t>JÖNKÖPINGS LÄN</t>
        </is>
      </c>
      <c r="G342" t="inlineStr">
        <is>
          <t>VÄRNAMO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46863-2023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45200</v>
      </c>
      <c r="E343" s="1" t="n">
        <v>46290</v>
      </c>
      <c r="F343" t="inlineStr">
        <is>
          <t>JÖNKÖPINGS LÄN</t>
        </is>
      </c>
      <c r="G343" t="inlineStr">
        <is>
          <t>VÄRNAMO</t>
        </is>
      </c>
      <c r="H343" t="inlineStr">
        <is>
          <t>Övriga Aktiebolag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46290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44686</v>
      </c>
      <c r="E345" s="1" t="n">
        <v>46290</v>
      </c>
      <c r="F345" t="inlineStr">
        <is>
          <t>JÖNKÖPINGS LÄN</t>
        </is>
      </c>
      <c r="G345" t="inlineStr">
        <is>
          <t>VÄRNAMO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46290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46290</v>
      </c>
      <c r="F347" t="inlineStr">
        <is>
          <t>JÖNKÖPINGS LÄN</t>
        </is>
      </c>
      <c r="G347" t="inlineStr">
        <is>
          <t>VÄRNAMO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46290</v>
      </c>
      <c r="F348" t="inlineStr">
        <is>
          <t>JÖNKÖPINGS LÄN</t>
        </is>
      </c>
      <c r="G348" t="inlineStr">
        <is>
          <t>VÄRNAMO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46290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46290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46290</v>
      </c>
      <c r="F351" t="inlineStr">
        <is>
          <t>JÖNKÖPINGS LÄN</t>
        </is>
      </c>
      <c r="G351" t="inlineStr">
        <is>
          <t>VÄRNAMO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46044</v>
      </c>
      <c r="E352" s="1" t="n">
        <v>46290</v>
      </c>
      <c r="F352" t="inlineStr">
        <is>
          <t>JÖNKÖPINGS LÄN</t>
        </is>
      </c>
      <c r="G352" t="inlineStr">
        <is>
          <t>VÄRNAMO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45274</v>
      </c>
      <c r="E353" s="1" t="n">
        <v>46290</v>
      </c>
      <c r="F353" t="inlineStr">
        <is>
          <t>JÖNKÖPINGS LÄN</t>
        </is>
      </c>
      <c r="G353" t="inlineStr">
        <is>
          <t>VÄRNAMO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46290</v>
      </c>
      <c r="F354" t="inlineStr">
        <is>
          <t>JÖNKÖPINGS LÄN</t>
        </is>
      </c>
      <c r="G354" t="inlineStr">
        <is>
          <t>VÄRNAMO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46290</v>
      </c>
      <c r="F355" t="inlineStr">
        <is>
          <t>JÖNKÖPINGS LÄN</t>
        </is>
      </c>
      <c r="G355" t="inlineStr">
        <is>
          <t>VÄRNAMO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46290</v>
      </c>
      <c r="F356" t="inlineStr">
        <is>
          <t>JÖNKÖPINGS LÄN</t>
        </is>
      </c>
      <c r="G356" t="inlineStr">
        <is>
          <t>VÄRNAMO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46290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46290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35120-2022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44797</v>
      </c>
      <c r="E359" s="1" t="n">
        <v>46290</v>
      </c>
      <c r="F359" t="inlineStr">
        <is>
          <t>JÖNKÖPINGS LÄN</t>
        </is>
      </c>
      <c r="G359" t="inlineStr">
        <is>
          <t>VÄRNAMO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45302</v>
      </c>
      <c r="E360" s="1" t="n">
        <v>46290</v>
      </c>
      <c r="F360" t="inlineStr">
        <is>
          <t>JÖNKÖPINGS LÄN</t>
        </is>
      </c>
      <c r="G360" t="inlineStr">
        <is>
          <t>VÄRNAMO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46290</v>
      </c>
      <c r="F361" t="inlineStr">
        <is>
          <t>JÖNKÖPINGS LÄN</t>
        </is>
      </c>
      <c r="G361" t="inlineStr">
        <is>
          <t>VÄRNAMO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5350-2026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46050</v>
      </c>
      <c r="E362" s="1" t="n">
        <v>46290</v>
      </c>
      <c r="F362" t="inlineStr">
        <is>
          <t>JÖNKÖPINGS LÄN</t>
        </is>
      </c>
      <c r="G362" t="inlineStr">
        <is>
          <t>VÄRNAMO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45701</v>
      </c>
      <c r="E363" s="1" t="n">
        <v>46290</v>
      </c>
      <c r="F363" t="inlineStr">
        <is>
          <t>JÖNKÖPINGS LÄN</t>
        </is>
      </c>
      <c r="G363" t="inlineStr">
        <is>
          <t>VÄRNAMO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46290</v>
      </c>
      <c r="F364" t="inlineStr">
        <is>
          <t>JÖNKÖPINGS LÄN</t>
        </is>
      </c>
      <c r="G364" t="inlineStr">
        <is>
          <t>VÄRNAMO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45505</v>
      </c>
      <c r="E365" s="1" t="n">
        <v>46290</v>
      </c>
      <c r="F365" t="inlineStr">
        <is>
          <t>JÖNKÖPINGS LÄN</t>
        </is>
      </c>
      <c r="G365" t="inlineStr">
        <is>
          <t>VÄRNAMO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46290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46290</v>
      </c>
      <c r="F367" t="inlineStr">
        <is>
          <t>JÖNKÖPINGS LÄN</t>
        </is>
      </c>
      <c r="G367" t="inlineStr">
        <is>
          <t>VÄRNAMO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46290</v>
      </c>
      <c r="F368" t="inlineStr">
        <is>
          <t>JÖNKÖPINGS LÄN</t>
        </is>
      </c>
      <c r="G368" t="inlineStr">
        <is>
          <t>VÄRNAMO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46290</v>
      </c>
      <c r="F369" t="inlineStr">
        <is>
          <t>JÖNKÖPINGS LÄN</t>
        </is>
      </c>
      <c r="G369" t="inlineStr">
        <is>
          <t>VÄRNAMO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46290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46290</v>
      </c>
      <c r="F371" t="inlineStr">
        <is>
          <t>JÖNKÖPINGS LÄN</t>
        </is>
      </c>
      <c r="G371" t="inlineStr">
        <is>
          <t>VÄRNAMO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45007</v>
      </c>
      <c r="E372" s="1" t="n">
        <v>46290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46062</v>
      </c>
      <c r="E373" s="1" t="n">
        <v>46290</v>
      </c>
      <c r="F373" t="inlineStr">
        <is>
          <t>JÖNKÖPINGS LÄN</t>
        </is>
      </c>
      <c r="G373" t="inlineStr">
        <is>
          <t>VÄRNAMO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46290</v>
      </c>
      <c r="F374" t="inlineStr">
        <is>
          <t>JÖNKÖPINGS LÄN</t>
        </is>
      </c>
      <c r="G374" t="inlineStr">
        <is>
          <t>VÄRNAMO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46290</v>
      </c>
      <c r="F375" t="inlineStr">
        <is>
          <t>JÖNKÖPINGS LÄN</t>
        </is>
      </c>
      <c r="G375" t="inlineStr">
        <is>
          <t>VÄRNAMO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45443</v>
      </c>
      <c r="E376" s="1" t="n">
        <v>46290</v>
      </c>
      <c r="F376" t="inlineStr">
        <is>
          <t>JÖNKÖPINGS LÄN</t>
        </is>
      </c>
      <c r="G376" t="inlineStr">
        <is>
          <t>VÄRNAMO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46290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46290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46064</v>
      </c>
      <c r="E379" s="1" t="n">
        <v>46290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46290</v>
      </c>
      <c r="F380" t="inlineStr">
        <is>
          <t>JÖNKÖPINGS LÄN</t>
        </is>
      </c>
      <c r="G380" t="inlineStr">
        <is>
          <t>VÄRNAMO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45302</v>
      </c>
      <c r="E381" s="1" t="n">
        <v>46290</v>
      </c>
      <c r="F381" t="inlineStr">
        <is>
          <t>JÖNKÖPINGS LÄN</t>
        </is>
      </c>
      <c r="G381" t="inlineStr">
        <is>
          <t>VÄRNAMO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46290</v>
      </c>
      <c r="F382" t="inlineStr">
        <is>
          <t>JÖNKÖPINGS LÄN</t>
        </is>
      </c>
      <c r="G382" t="inlineStr">
        <is>
          <t>VÄRNAMO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44652</v>
      </c>
      <c r="E383" s="1" t="n">
        <v>46290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46290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46290</v>
      </c>
      <c r="F385" t="inlineStr">
        <is>
          <t>JÖNKÖPINGS LÄN</t>
        </is>
      </c>
      <c r="G385" t="inlineStr">
        <is>
          <t>VÄRNAMO</t>
        </is>
      </c>
      <c r="H385" t="inlineStr">
        <is>
          <t>Kommuner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38484-2023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46290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46290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46290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46290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46290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46290</v>
      </c>
      <c r="F391" t="inlineStr">
        <is>
          <t>JÖNKÖPINGS LÄN</t>
        </is>
      </c>
      <c r="G391" t="inlineStr">
        <is>
          <t>VÄRNAMO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45972</v>
      </c>
      <c r="E392" s="1" t="n">
        <v>46290</v>
      </c>
      <c r="F392" t="inlineStr">
        <is>
          <t>JÖNKÖPINGS LÄN</t>
        </is>
      </c>
      <c r="G392" t="inlineStr">
        <is>
          <t>VÄRNAMO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46290</v>
      </c>
      <c r="F393" t="inlineStr">
        <is>
          <t>JÖNKÖPINGS LÄN</t>
        </is>
      </c>
      <c r="G393" t="inlineStr">
        <is>
          <t>VÄRNAMO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46290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46290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46290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46290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45475</v>
      </c>
      <c r="E398" s="1" t="n">
        <v>46290</v>
      </c>
      <c r="F398" t="inlineStr">
        <is>
          <t>JÖNKÖPINGS LÄN</t>
        </is>
      </c>
      <c r="G398" t="inlineStr">
        <is>
          <t>VÄRNAMO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46080</v>
      </c>
      <c r="E399" s="1" t="n">
        <v>46290</v>
      </c>
      <c r="F399" t="inlineStr">
        <is>
          <t>JÖNKÖPINGS LÄN</t>
        </is>
      </c>
      <c r="G399" t="inlineStr">
        <is>
          <t>VÄRNAMO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46290</v>
      </c>
      <c r="F400" t="inlineStr">
        <is>
          <t>JÖNKÖPINGS LÄN</t>
        </is>
      </c>
      <c r="G400" t="inlineStr">
        <is>
          <t>VÄRNAMO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46290</v>
      </c>
      <c r="F401" t="inlineStr">
        <is>
          <t>JÖNKÖPINGS LÄN</t>
        </is>
      </c>
      <c r="G401" t="inlineStr">
        <is>
          <t>VÄRNAMO</t>
        </is>
      </c>
      <c r="H401" t="inlineStr">
        <is>
          <t>Kommuner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46080</v>
      </c>
      <c r="E402" s="1" t="n">
        <v>46290</v>
      </c>
      <c r="F402" t="inlineStr">
        <is>
          <t>JÖNKÖPINGS LÄN</t>
        </is>
      </c>
      <c r="G402" t="inlineStr">
        <is>
          <t>VÄRNAMO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46290</v>
      </c>
      <c r="F403" t="inlineStr">
        <is>
          <t>JÖNKÖPINGS LÄN</t>
        </is>
      </c>
      <c r="G403" t="inlineStr">
        <is>
          <t>VÄRNAMO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46172</v>
      </c>
      <c r="E404" s="1" t="n">
        <v>46290</v>
      </c>
      <c r="F404" t="inlineStr">
        <is>
          <t>JÖNKÖPINGS LÄN</t>
        </is>
      </c>
      <c r="G404" t="inlineStr">
        <is>
          <t>VÄRNAMO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15105-2026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46290</v>
      </c>
      <c r="F405" t="inlineStr">
        <is>
          <t>JÖNKÖPINGS LÄN</t>
        </is>
      </c>
      <c r="G405" t="inlineStr">
        <is>
          <t>VÄRNAMO</t>
        </is>
      </c>
      <c r="I405" t="n">
        <v>58.2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12095-2026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46086</v>
      </c>
      <c r="E406" s="1" t="n">
        <v>46290</v>
      </c>
      <c r="F406" t="inlineStr">
        <is>
          <t>JÖNKÖPINGS LÄN</t>
        </is>
      </c>
      <c r="G406" t="inlineStr">
        <is>
          <t>VÄRNAMO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46290</v>
      </c>
      <c r="F407" t="inlineStr">
        <is>
          <t>JÖNKÖPINGS LÄN</t>
        </is>
      </c>
      <c r="G407" t="inlineStr">
        <is>
          <t>VÄRNAMO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46290</v>
      </c>
      <c r="F408" t="inlineStr">
        <is>
          <t>JÖNKÖPINGS LÄN</t>
        </is>
      </c>
      <c r="G408" t="inlineStr">
        <is>
          <t>VÄRNAMO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46290</v>
      </c>
      <c r="F409" t="inlineStr">
        <is>
          <t>JÖNKÖPINGS LÄN</t>
        </is>
      </c>
      <c r="G409" t="inlineStr">
        <is>
          <t>VÄRNAMO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46290</v>
      </c>
      <c r="F410" t="inlineStr">
        <is>
          <t>JÖNKÖPINGS LÄN</t>
        </is>
      </c>
      <c r="G410" t="inlineStr">
        <is>
          <t>VÄRNAMO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46290</v>
      </c>
      <c r="F411" t="inlineStr">
        <is>
          <t>JÖNKÖPINGS LÄN</t>
        </is>
      </c>
      <c r="G411" t="inlineStr">
        <is>
          <t>VÄRNAMO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31746-2024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45509</v>
      </c>
      <c r="E412" s="1" t="n">
        <v>46290</v>
      </c>
      <c r="F412" t="inlineStr">
        <is>
          <t>JÖNKÖPINGS LÄN</t>
        </is>
      </c>
      <c r="G412" t="inlineStr">
        <is>
          <t>VÄRNAMO</t>
        </is>
      </c>
      <c r="I412" t="n">
        <v>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46290</v>
      </c>
      <c r="F413" t="inlineStr">
        <is>
          <t>JÖNKÖPINGS LÄN</t>
        </is>
      </c>
      <c r="G413" t="inlineStr">
        <is>
          <t>VÄRNAMO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46290</v>
      </c>
      <c r="F414" t="inlineStr">
        <is>
          <t>JÖNKÖPINGS LÄN</t>
        </is>
      </c>
      <c r="G414" t="inlineStr">
        <is>
          <t>VÄRNAMO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46290</v>
      </c>
      <c r="F415" t="inlineStr">
        <is>
          <t>JÖNKÖPINGS LÄN</t>
        </is>
      </c>
      <c r="G415" t="inlineStr">
        <is>
          <t>VÄRNAMO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46290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46290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27153-2026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46188</v>
      </c>
      <c r="E418" s="1" t="n">
        <v>46290</v>
      </c>
      <c r="F418" t="inlineStr">
        <is>
          <t>JÖNKÖPINGS LÄN</t>
        </is>
      </c>
      <c r="G418" t="inlineStr">
        <is>
          <t>VÄRNAMO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46290</v>
      </c>
      <c r="F419" t="inlineStr">
        <is>
          <t>JÖNKÖPINGS LÄN</t>
        </is>
      </c>
      <c r="G419" t="inlineStr">
        <is>
          <t>VÄRNAMO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46290</v>
      </c>
      <c r="F420" t="inlineStr">
        <is>
          <t>JÖNKÖPINGS LÄN</t>
        </is>
      </c>
      <c r="G420" t="inlineStr">
        <is>
          <t>VÄRNAMO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45308</v>
      </c>
      <c r="E421" s="1" t="n">
        <v>46290</v>
      </c>
      <c r="F421" t="inlineStr">
        <is>
          <t>JÖNKÖPINGS LÄN</t>
        </is>
      </c>
      <c r="G421" t="inlineStr">
        <is>
          <t>VÄRNAMO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46290</v>
      </c>
      <c r="F422" t="inlineStr">
        <is>
          <t>JÖNKÖPINGS LÄN</t>
        </is>
      </c>
      <c r="G422" t="inlineStr">
        <is>
          <t>VÄRNAMO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46290</v>
      </c>
      <c r="F423" t="inlineStr">
        <is>
          <t>JÖNKÖPINGS LÄN</t>
        </is>
      </c>
      <c r="G423" t="inlineStr">
        <is>
          <t>VÄRNAMO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46290</v>
      </c>
      <c r="F424" t="inlineStr">
        <is>
          <t>JÖNKÖPINGS LÄN</t>
        </is>
      </c>
      <c r="G424" t="inlineStr">
        <is>
          <t>VÄRNAMO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46290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29162-2023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45105</v>
      </c>
      <c r="E426" s="1" t="n">
        <v>46290</v>
      </c>
      <c r="F426" t="inlineStr">
        <is>
          <t>JÖNKÖPINGS LÄN</t>
        </is>
      </c>
      <c r="G426" t="inlineStr">
        <is>
          <t>VÄRNAMO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29168-2023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45105</v>
      </c>
      <c r="E427" s="1" t="n">
        <v>46290</v>
      </c>
      <c r="F427" t="inlineStr">
        <is>
          <t>JÖNKÖPINGS LÄN</t>
        </is>
      </c>
      <c r="G427" t="inlineStr">
        <is>
          <t>VÄRNAMO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46290</v>
      </c>
      <c r="F428" t="inlineStr">
        <is>
          <t>JÖNKÖPINGS LÄN</t>
        </is>
      </c>
      <c r="G428" t="inlineStr">
        <is>
          <t>VÄRNAMO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45631</v>
      </c>
      <c r="E429" s="1" t="n">
        <v>46290</v>
      </c>
      <c r="F429" t="inlineStr">
        <is>
          <t>JÖNKÖPINGS LÄN</t>
        </is>
      </c>
      <c r="G429" t="inlineStr">
        <is>
          <t>VÄRNAMO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14439-2023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45012</v>
      </c>
      <c r="E430" s="1" t="n">
        <v>46290</v>
      </c>
      <c r="F430" t="inlineStr">
        <is>
          <t>JÖNKÖPINGS LÄN</t>
        </is>
      </c>
      <c r="G430" t="inlineStr">
        <is>
          <t>VÄRNAMO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46290</v>
      </c>
      <c r="F431" t="inlineStr">
        <is>
          <t>JÖNKÖPINGS LÄN</t>
        </is>
      </c>
      <c r="G431" t="inlineStr">
        <is>
          <t>VÄRNAMO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46290</v>
      </c>
      <c r="F432" t="inlineStr">
        <is>
          <t>JÖNKÖPINGS LÄN</t>
        </is>
      </c>
      <c r="G432" t="inlineStr">
        <is>
          <t>VÄRNAMO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45078</v>
      </c>
      <c r="E433" s="1" t="n">
        <v>46290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46290</v>
      </c>
      <c r="F434" t="inlineStr">
        <is>
          <t>JÖNKÖPINGS LÄN</t>
        </is>
      </c>
      <c r="G434" t="inlineStr">
        <is>
          <t>VÄRNAMO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15101-2026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46101</v>
      </c>
      <c r="E435" s="1" t="n">
        <v>46290</v>
      </c>
      <c r="F435" t="inlineStr">
        <is>
          <t>JÖNKÖPINGS LÄN</t>
        </is>
      </c>
      <c r="G435" t="inlineStr">
        <is>
          <t>VÄRNAMO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46193</v>
      </c>
      <c r="E436" s="1" t="n">
        <v>46290</v>
      </c>
      <c r="F436" t="inlineStr">
        <is>
          <t>JÖNKÖPINGS LÄN</t>
        </is>
      </c>
      <c r="G436" t="inlineStr">
        <is>
          <t>VÄRNAMO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45357</v>
      </c>
      <c r="E437" s="1" t="n">
        <v>46290</v>
      </c>
      <c r="F437" t="inlineStr">
        <is>
          <t>JÖNKÖPINGS LÄN</t>
        </is>
      </c>
      <c r="G437" t="inlineStr">
        <is>
          <t>VÄRNAMO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46290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22073-2023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45069</v>
      </c>
      <c r="E439" s="1" t="n">
        <v>46290</v>
      </c>
      <c r="F439" t="inlineStr">
        <is>
          <t>JÖNKÖPINGS LÄN</t>
        </is>
      </c>
      <c r="G439" t="inlineStr">
        <is>
          <t>VÄRNAMO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46290</v>
      </c>
      <c r="F440" t="inlineStr">
        <is>
          <t>JÖNKÖPINGS LÄN</t>
        </is>
      </c>
      <c r="G440" t="inlineStr">
        <is>
          <t>VÄRNAMO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45763</v>
      </c>
      <c r="E441" s="1" t="n">
        <v>46290</v>
      </c>
      <c r="F441" t="inlineStr">
        <is>
          <t>JÖNKÖPINGS LÄN</t>
        </is>
      </c>
      <c r="G441" t="inlineStr">
        <is>
          <t>VÄRNAMO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46290</v>
      </c>
      <c r="F442" t="inlineStr">
        <is>
          <t>JÖNKÖPINGS LÄN</t>
        </is>
      </c>
      <c r="G442" t="inlineStr">
        <is>
          <t>VÄRNAMO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46290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45824-2022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46290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45517</v>
      </c>
      <c r="E445" s="1" t="n">
        <v>46290</v>
      </c>
      <c r="F445" t="inlineStr">
        <is>
          <t>JÖNKÖPINGS LÄN</t>
        </is>
      </c>
      <c r="G445" t="inlineStr">
        <is>
          <t>VÄRNAMO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46290</v>
      </c>
      <c r="F446" t="inlineStr">
        <is>
          <t>JÖNKÖPINGS LÄN</t>
        </is>
      </c>
      <c r="G446" t="inlineStr">
        <is>
          <t>VÄRNAMO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27908-2026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46290</v>
      </c>
      <c r="F447" t="inlineStr">
        <is>
          <t>JÖNKÖPINGS LÄN</t>
        </is>
      </c>
      <c r="G447" t="inlineStr">
        <is>
          <t>VÄRNAMO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46290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46290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68171-2021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44526</v>
      </c>
      <c r="E450" s="1" t="n">
        <v>46290</v>
      </c>
      <c r="F450" t="inlineStr">
        <is>
          <t>JÖNKÖPINGS LÄN</t>
        </is>
      </c>
      <c r="G450" t="inlineStr">
        <is>
          <t>VÄRNAMO</t>
        </is>
      </c>
      <c r="H450" t="inlineStr">
        <is>
          <t>Kommuner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46290</v>
      </c>
      <c r="F451" t="inlineStr">
        <is>
          <t>JÖNKÖPINGS LÄN</t>
        </is>
      </c>
      <c r="G451" t="inlineStr">
        <is>
          <t>VÄRNAMO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11210-2024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45371</v>
      </c>
      <c r="E452" s="1" t="n">
        <v>46290</v>
      </c>
      <c r="F452" t="inlineStr">
        <is>
          <t>JÖNKÖPINGS LÄN</t>
        </is>
      </c>
      <c r="G452" t="inlineStr">
        <is>
          <t>VÄRNAMO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46290</v>
      </c>
      <c r="F453" t="inlineStr">
        <is>
          <t>JÖNKÖPINGS LÄN</t>
        </is>
      </c>
      <c r="G453" t="inlineStr">
        <is>
          <t>VÄRNAMO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46290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46290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46290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55373-2023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45238</v>
      </c>
      <c r="E457" s="1" t="n">
        <v>46290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45160</v>
      </c>
      <c r="E458" s="1" t="n">
        <v>46290</v>
      </c>
      <c r="F458" t="inlineStr">
        <is>
          <t>JÖNKÖPINGS LÄN</t>
        </is>
      </c>
      <c r="G458" t="inlineStr">
        <is>
          <t>VÄRNAMO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45219</v>
      </c>
      <c r="E459" s="1" t="n">
        <v>46290</v>
      </c>
      <c r="F459" t="inlineStr">
        <is>
          <t>JÖNKÖPINGS LÄN</t>
        </is>
      </c>
      <c r="G459" t="inlineStr">
        <is>
          <t>VÄRNAMO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53533-2023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45223</v>
      </c>
      <c r="E460" s="1" t="n">
        <v>46290</v>
      </c>
      <c r="F460" t="inlineStr">
        <is>
          <t>JÖNKÖPINGS LÄN</t>
        </is>
      </c>
      <c r="G460" t="inlineStr">
        <is>
          <t>VÄRNAMO</t>
        </is>
      </c>
      <c r="H460" t="inlineStr">
        <is>
          <t>Kyrkan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46290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46290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46290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45224</v>
      </c>
      <c r="E464" s="1" t="n">
        <v>46290</v>
      </c>
      <c r="F464" t="inlineStr">
        <is>
          <t>JÖNKÖPINGS LÄN</t>
        </is>
      </c>
      <c r="G464" t="inlineStr">
        <is>
          <t>VÄRNAMO</t>
        </is>
      </c>
      <c r="H464" t="inlineStr">
        <is>
          <t>Övriga Aktiebolag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46290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46290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61503-2021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46290</v>
      </c>
      <c r="F467" t="inlineStr">
        <is>
          <t>JÖNKÖPINGS LÄN</t>
        </is>
      </c>
      <c r="G467" t="inlineStr">
        <is>
          <t>VÄRNAMO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46290</v>
      </c>
      <c r="F468" t="inlineStr">
        <is>
          <t>JÖNKÖPINGS LÄN</t>
        </is>
      </c>
      <c r="G468" t="inlineStr">
        <is>
          <t>VÄRNAMO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45674</v>
      </c>
      <c r="E469" s="1" t="n">
        <v>46290</v>
      </c>
      <c r="F469" t="inlineStr">
        <is>
          <t>JÖNKÖPINGS LÄN</t>
        </is>
      </c>
      <c r="G469" t="inlineStr">
        <is>
          <t>VÄRNAMO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45674</v>
      </c>
      <c r="E470" s="1" t="n">
        <v>46290</v>
      </c>
      <c r="F470" t="inlineStr">
        <is>
          <t>JÖNKÖPINGS LÄN</t>
        </is>
      </c>
      <c r="G470" t="inlineStr">
        <is>
          <t>VÄRNAMO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46290</v>
      </c>
      <c r="F471" t="inlineStr">
        <is>
          <t>JÖNKÖPINGS LÄN</t>
        </is>
      </c>
      <c r="G471" t="inlineStr">
        <is>
          <t>VÄRNAMO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45563</v>
      </c>
      <c r="E472" s="1" t="n">
        <v>46290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46290</v>
      </c>
      <c r="F473" t="inlineStr">
        <is>
          <t>JÖNKÖPINGS LÄN</t>
        </is>
      </c>
      <c r="G473" t="inlineStr">
        <is>
          <t>VÄRNAMO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44587</v>
      </c>
      <c r="E474" s="1" t="n">
        <v>46290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45243</v>
      </c>
      <c r="E475" s="1" t="n">
        <v>46290</v>
      </c>
      <c r="F475" t="inlineStr">
        <is>
          <t>JÖNKÖPINGS LÄN</t>
        </is>
      </c>
      <c r="G475" t="inlineStr">
        <is>
          <t>VÄRNAMO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46290</v>
      </c>
      <c r="F476" t="inlineStr">
        <is>
          <t>JÖNKÖPINGS LÄN</t>
        </is>
      </c>
      <c r="G476" t="inlineStr">
        <is>
          <t>VÄRNAMO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41206-2023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45174</v>
      </c>
      <c r="E477" s="1" t="n">
        <v>46290</v>
      </c>
      <c r="F477" t="inlineStr">
        <is>
          <t>JÖNKÖPINGS LÄN</t>
        </is>
      </c>
      <c r="G477" t="inlineStr">
        <is>
          <t>VÄRNAMO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74310-2021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44559</v>
      </c>
      <c r="E478" s="1" t="n">
        <v>46290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33731-2026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46251</v>
      </c>
      <c r="E479" s="1" t="n">
        <v>46290</v>
      </c>
      <c r="F479" t="inlineStr">
        <is>
          <t>JÖNKÖPINGS LÄN</t>
        </is>
      </c>
      <c r="G479" t="inlineStr">
        <is>
          <t>VÄRNAMO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46290</v>
      </c>
      <c r="F480" t="inlineStr">
        <is>
          <t>JÖNKÖPINGS LÄN</t>
        </is>
      </c>
      <c r="G480" t="inlineStr">
        <is>
          <t>VÄRNAMO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46290</v>
      </c>
      <c r="F481" t="inlineStr">
        <is>
          <t>JÖNKÖPINGS LÄN</t>
        </is>
      </c>
      <c r="G481" t="inlineStr">
        <is>
          <t>VÄRNAMO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45924</v>
      </c>
      <c r="E482" s="1" t="n">
        <v>46290</v>
      </c>
      <c r="F482" t="inlineStr">
        <is>
          <t>JÖNKÖPINGS LÄN</t>
        </is>
      </c>
      <c r="G482" t="inlineStr">
        <is>
          <t>VÄRNAMO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46290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46290</v>
      </c>
      <c r="F484" t="inlineStr">
        <is>
          <t>JÖNKÖPINGS LÄN</t>
        </is>
      </c>
      <c r="G484" t="inlineStr">
        <is>
          <t>VÄRNAMO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46867-2023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45200</v>
      </c>
      <c r="E485" s="1" t="n">
        <v>46290</v>
      </c>
      <c r="F485" t="inlineStr">
        <is>
          <t>JÖNKÖPINGS LÄN</t>
        </is>
      </c>
      <c r="G485" t="inlineStr">
        <is>
          <t>VÄRNAMO</t>
        </is>
      </c>
      <c r="H485" t="inlineStr">
        <is>
          <t>Övriga Aktiebolag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46290</v>
      </c>
      <c r="F486" t="inlineStr">
        <is>
          <t>JÖNKÖPINGS LÄN</t>
        </is>
      </c>
      <c r="G486" t="inlineStr">
        <is>
          <t>VÄRNAMO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46290</v>
      </c>
      <c r="F487" t="inlineStr">
        <is>
          <t>JÖNKÖPINGS LÄN</t>
        </is>
      </c>
      <c r="G487" t="inlineStr">
        <is>
          <t>VÄRNAMO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44820</v>
      </c>
      <c r="E488" s="1" t="n">
        <v>46290</v>
      </c>
      <c r="F488" t="inlineStr">
        <is>
          <t>JÖNKÖPINGS LÄN</t>
        </is>
      </c>
      <c r="G488" t="inlineStr">
        <is>
          <t>VÄRNAMO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45170</v>
      </c>
      <c r="E489" s="1" t="n">
        <v>46290</v>
      </c>
      <c r="F489" t="inlineStr">
        <is>
          <t>JÖNKÖPINGS LÄN</t>
        </is>
      </c>
      <c r="G489" t="inlineStr">
        <is>
          <t>VÄRNAMO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45258</v>
      </c>
      <c r="E490" s="1" t="n">
        <v>46290</v>
      </c>
      <c r="F490" t="inlineStr">
        <is>
          <t>JÖNKÖPINGS LÄN</t>
        </is>
      </c>
      <c r="G490" t="inlineStr">
        <is>
          <t>VÄRNAMO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45093</v>
      </c>
      <c r="E491" s="1" t="n">
        <v>46290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46290</v>
      </c>
      <c r="F492" t="inlineStr">
        <is>
          <t>JÖNKÖPINGS LÄN</t>
        </is>
      </c>
      <c r="G492" t="inlineStr">
        <is>
          <t>VÄRNAMO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45645</v>
      </c>
      <c r="E493" s="1" t="n">
        <v>46290</v>
      </c>
      <c r="F493" t="inlineStr">
        <is>
          <t>JÖNKÖPINGS LÄN</t>
        </is>
      </c>
      <c r="G493" t="inlineStr">
        <is>
          <t>VÄRNAMO</t>
        </is>
      </c>
      <c r="I493" t="n">
        <v>13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16164-2024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45406</v>
      </c>
      <c r="E494" s="1" t="n">
        <v>46290</v>
      </c>
      <c r="F494" t="inlineStr">
        <is>
          <t>JÖNKÖPINGS LÄN</t>
        </is>
      </c>
      <c r="G494" t="inlineStr">
        <is>
          <t>VÄRNAMO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63656-2023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45275</v>
      </c>
      <c r="E495" s="1" t="n">
        <v>46290</v>
      </c>
      <c r="F495" t="inlineStr">
        <is>
          <t>JÖNKÖPINGS LÄN</t>
        </is>
      </c>
      <c r="G495" t="inlineStr">
        <is>
          <t>VÄRNAMO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46290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46290</v>
      </c>
      <c r="F497" t="inlineStr">
        <is>
          <t>JÖNKÖPINGS LÄN</t>
        </is>
      </c>
      <c r="G497" t="inlineStr">
        <is>
          <t>VÄRNAMO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49605-2024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45596</v>
      </c>
      <c r="E498" s="1" t="n">
        <v>46290</v>
      </c>
      <c r="F498" t="inlineStr">
        <is>
          <t>JÖNKÖPINGS LÄN</t>
        </is>
      </c>
      <c r="G498" t="inlineStr">
        <is>
          <t>VÄRNAMO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46290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25102-2022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44729</v>
      </c>
      <c r="E500" s="1" t="n">
        <v>46290</v>
      </c>
      <c r="F500" t="inlineStr">
        <is>
          <t>JÖNKÖPINGS LÄN</t>
        </is>
      </c>
      <c r="G500" t="inlineStr">
        <is>
          <t>VÄRNAMO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44949</v>
      </c>
      <c r="E501" s="1" t="n">
        <v>46290</v>
      </c>
      <c r="F501" t="inlineStr">
        <is>
          <t>JÖNKÖPINGS LÄN</t>
        </is>
      </c>
      <c r="G501" t="inlineStr">
        <is>
          <t>VÄRNAMO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46290</v>
      </c>
      <c r="F502" t="inlineStr">
        <is>
          <t>JÖNKÖPINGS LÄN</t>
        </is>
      </c>
      <c r="G502" t="inlineStr">
        <is>
          <t>VÄRNAMO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45270</v>
      </c>
      <c r="E503" s="1" t="n">
        <v>46290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56272-2022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44890</v>
      </c>
      <c r="E504" s="1" t="n">
        <v>46290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29166-2023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45105</v>
      </c>
      <c r="E505" s="1" t="n">
        <v>46290</v>
      </c>
      <c r="F505" t="inlineStr">
        <is>
          <t>JÖNKÖPINGS LÄN</t>
        </is>
      </c>
      <c r="G505" t="inlineStr">
        <is>
          <t>VÄRNAMO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45674</v>
      </c>
      <c r="E506" s="1" t="n">
        <v>46290</v>
      </c>
      <c r="F506" t="inlineStr">
        <is>
          <t>JÖNKÖPINGS LÄN</t>
        </is>
      </c>
      <c r="G506" t="inlineStr">
        <is>
          <t>VÄRNAMO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46290</v>
      </c>
      <c r="F507" t="inlineStr">
        <is>
          <t>JÖNKÖPINGS LÄN</t>
        </is>
      </c>
      <c r="G507" t="inlineStr">
        <is>
          <t>VÄRNAMO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45688</v>
      </c>
      <c r="E508" s="1" t="n">
        <v>46290</v>
      </c>
      <c r="F508" t="inlineStr">
        <is>
          <t>JÖNKÖPINGS LÄN</t>
        </is>
      </c>
      <c r="G508" t="inlineStr">
        <is>
          <t>VÄRNAMO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40226-2024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45554</v>
      </c>
      <c r="E509" s="1" t="n">
        <v>46290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10540-2025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45721</v>
      </c>
      <c r="E510" s="1" t="n">
        <v>46290</v>
      </c>
      <c r="F510" t="inlineStr">
        <is>
          <t>JÖNKÖPINGS LÄN</t>
        </is>
      </c>
      <c r="G510" t="inlineStr">
        <is>
          <t>VÄRNAMO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45188</v>
      </c>
      <c r="E511" s="1" t="n">
        <v>46290</v>
      </c>
      <c r="F511" t="inlineStr">
        <is>
          <t>JÖNKÖPINGS LÄN</t>
        </is>
      </c>
      <c r="G511" t="inlineStr">
        <is>
          <t>VÄRNAMO</t>
        </is>
      </c>
      <c r="I511" t="n">
        <v>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45547</v>
      </c>
      <c r="E512" s="1" t="n">
        <v>46290</v>
      </c>
      <c r="F512" t="inlineStr">
        <is>
          <t>JÖNKÖPINGS LÄN</t>
        </is>
      </c>
      <c r="G512" t="inlineStr">
        <is>
          <t>VÄRNAMO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45245</v>
      </c>
      <c r="E513" s="1" t="n">
        <v>46290</v>
      </c>
      <c r="F513" t="inlineStr">
        <is>
          <t>JÖNKÖPINGS LÄN</t>
        </is>
      </c>
      <c r="G513" t="inlineStr">
        <is>
          <t>VÄRNAMO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44949</v>
      </c>
      <c r="E514" s="1" t="n">
        <v>46290</v>
      </c>
      <c r="F514" t="inlineStr">
        <is>
          <t>JÖNKÖPINGS LÄN</t>
        </is>
      </c>
      <c r="G514" t="inlineStr">
        <is>
          <t>VÄRNAMO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45243</v>
      </c>
      <c r="E515" s="1" t="n">
        <v>46290</v>
      </c>
      <c r="F515" t="inlineStr">
        <is>
          <t>JÖNKÖPINGS LÄN</t>
        </is>
      </c>
      <c r="G515" t="inlineStr">
        <is>
          <t>VÄRNAMO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45728</v>
      </c>
      <c r="E516" s="1" t="n">
        <v>46290</v>
      </c>
      <c r="F516" t="inlineStr">
        <is>
          <t>JÖNKÖPINGS LÄN</t>
        </is>
      </c>
      <c r="G516" t="inlineStr">
        <is>
          <t>VÄRNAMO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40777-2024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45558</v>
      </c>
      <c r="E517" s="1" t="n">
        <v>46290</v>
      </c>
      <c r="F517" t="inlineStr">
        <is>
          <t>JÖNKÖPINGS LÄN</t>
        </is>
      </c>
      <c r="G517" t="inlineStr">
        <is>
          <t>VÄRNAMO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74026-2021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44553</v>
      </c>
      <c r="E518" s="1" t="n">
        <v>46290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74027-2021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44553</v>
      </c>
      <c r="E519" s="1" t="n">
        <v>46290</v>
      </c>
      <c r="F519" t="inlineStr">
        <is>
          <t>JÖNKÖPINGS LÄN</t>
        </is>
      </c>
      <c r="G519" t="inlineStr">
        <is>
          <t>VÄRNAMO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45701</v>
      </c>
      <c r="E520" s="1" t="n">
        <v>46290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46290</v>
      </c>
      <c r="F521" t="inlineStr">
        <is>
          <t>JÖNKÖPINGS LÄN</t>
        </is>
      </c>
      <c r="G521" t="inlineStr">
        <is>
          <t>VÄRNAMO</t>
        </is>
      </c>
      <c r="H521" t="inlineStr">
        <is>
          <t>Kommuner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46290</v>
      </c>
      <c r="F522" t="inlineStr">
        <is>
          <t>JÖNKÖPINGS LÄN</t>
        </is>
      </c>
      <c r="G522" t="inlineStr">
        <is>
          <t>VÄRNAMO</t>
        </is>
      </c>
      <c r="H522" t="inlineStr">
        <is>
          <t>Kommuner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45393</v>
      </c>
      <c r="E523" s="1" t="n">
        <v>46290</v>
      </c>
      <c r="F523" t="inlineStr">
        <is>
          <t>JÖNKÖPINGS LÄN</t>
        </is>
      </c>
      <c r="G523" t="inlineStr">
        <is>
          <t>VÄRNAMO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46290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46290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41316-2023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45173</v>
      </c>
      <c r="E526" s="1" t="n">
        <v>46290</v>
      </c>
      <c r="F526" t="inlineStr">
        <is>
          <t>JÖNKÖPINGS LÄN</t>
        </is>
      </c>
      <c r="G526" t="inlineStr">
        <is>
          <t>VÄRNAMO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46290</v>
      </c>
      <c r="F527" t="inlineStr">
        <is>
          <t>JÖNKÖPINGS LÄN</t>
        </is>
      </c>
      <c r="G527" t="inlineStr">
        <is>
          <t>VÄRNAMO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45343</v>
      </c>
      <c r="E528" s="1" t="n">
        <v>46290</v>
      </c>
      <c r="F528" t="inlineStr">
        <is>
          <t>JÖNKÖPINGS LÄN</t>
        </is>
      </c>
      <c r="G528" t="inlineStr">
        <is>
          <t>VÄRNAMO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45343</v>
      </c>
      <c r="E529" s="1" t="n">
        <v>46290</v>
      </c>
      <c r="F529" t="inlineStr">
        <is>
          <t>JÖNKÖPINGS LÄN</t>
        </is>
      </c>
      <c r="G529" t="inlineStr">
        <is>
          <t>VÄRNAMO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46290</v>
      </c>
      <c r="F530" t="inlineStr">
        <is>
          <t>JÖNKÖPINGS LÄN</t>
        </is>
      </c>
      <c r="G530" t="inlineStr">
        <is>
          <t>VÄRNAMO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39656-2023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45167</v>
      </c>
      <c r="E531" s="1" t="n">
        <v>46290</v>
      </c>
      <c r="F531" t="inlineStr">
        <is>
          <t>JÖNKÖPINGS LÄN</t>
        </is>
      </c>
      <c r="G531" t="inlineStr">
        <is>
          <t>VÄRNAMO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46290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42830-2024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45566</v>
      </c>
      <c r="E533" s="1" t="n">
        <v>46290</v>
      </c>
      <c r="F533" t="inlineStr">
        <is>
          <t>JÖNKÖPINGS LÄN</t>
        </is>
      </c>
      <c r="G533" t="inlineStr">
        <is>
          <t>VÄRNAMO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36729-2022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44805</v>
      </c>
      <c r="E534" s="1" t="n">
        <v>46290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20199-2022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44698</v>
      </c>
      <c r="E535" s="1" t="n">
        <v>46290</v>
      </c>
      <c r="F535" t="inlineStr">
        <is>
          <t>JÖNKÖPINGS LÄN</t>
        </is>
      </c>
      <c r="G535" t="inlineStr">
        <is>
          <t>VÄRNAMO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46290</v>
      </c>
      <c r="F536" t="inlineStr">
        <is>
          <t>JÖNKÖPINGS LÄN</t>
        </is>
      </c>
      <c r="G536" t="inlineStr">
        <is>
          <t>VÄRNAMO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31790-2026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46230</v>
      </c>
      <c r="E537" s="1" t="n">
        <v>46290</v>
      </c>
      <c r="F537" t="inlineStr">
        <is>
          <t>JÖNKÖPINGS LÄN</t>
        </is>
      </c>
      <c r="G537" t="inlineStr">
        <is>
          <t>VÄRNAMO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46230</v>
      </c>
      <c r="E538" s="1" t="n">
        <v>46290</v>
      </c>
      <c r="F538" t="inlineStr">
        <is>
          <t>JÖNKÖPINGS LÄN</t>
        </is>
      </c>
      <c r="G538" t="inlineStr">
        <is>
          <t>VÄRNAMO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44936</v>
      </c>
      <c r="E539" s="1" t="n">
        <v>46290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18890-2023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45044</v>
      </c>
      <c r="E540" s="1" t="n">
        <v>46290</v>
      </c>
      <c r="F540" t="inlineStr">
        <is>
          <t>JÖNKÖPINGS LÄN</t>
        </is>
      </c>
      <c r="G540" t="inlineStr">
        <is>
          <t>VÄRNAMO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64002-2023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45278</v>
      </c>
      <c r="E541" s="1" t="n">
        <v>46290</v>
      </c>
      <c r="F541" t="inlineStr">
        <is>
          <t>JÖNKÖPINGS LÄN</t>
        </is>
      </c>
      <c r="G541" t="inlineStr">
        <is>
          <t>VÄRNAMO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46290</v>
      </c>
      <c r="F542" t="inlineStr">
        <is>
          <t>JÖNKÖPINGS LÄN</t>
        </is>
      </c>
      <c r="G542" t="inlineStr">
        <is>
          <t>VÄRNAMO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37592-2026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46276</v>
      </c>
      <c r="E543" s="1" t="n">
        <v>46290</v>
      </c>
      <c r="F543" t="inlineStr">
        <is>
          <t>JÖNKÖPINGS LÄN</t>
        </is>
      </c>
      <c r="G543" t="inlineStr">
        <is>
          <t>VÄRNAMO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46290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64048-2023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45279</v>
      </c>
      <c r="E545" s="1" t="n">
        <v>46290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46290</v>
      </c>
      <c r="F546" t="inlineStr">
        <is>
          <t>JÖNKÖPINGS LÄN</t>
        </is>
      </c>
      <c r="G546" t="inlineStr">
        <is>
          <t>VÄRNAMO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44699</v>
      </c>
      <c r="E547" s="1" t="n">
        <v>46290</v>
      </c>
      <c r="F547" t="inlineStr">
        <is>
          <t>JÖNKÖPINGS LÄN</t>
        </is>
      </c>
      <c r="G547" t="inlineStr">
        <is>
          <t>VÄRNAMO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46468-2023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45197</v>
      </c>
      <c r="E548" s="1" t="n">
        <v>46290</v>
      </c>
      <c r="F548" t="inlineStr">
        <is>
          <t>JÖNKÖPINGS LÄN</t>
        </is>
      </c>
      <c r="G548" t="inlineStr">
        <is>
          <t>VÄRNAMO</t>
        </is>
      </c>
      <c r="I548" t="n">
        <v>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46471-2023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45197</v>
      </c>
      <c r="E549" s="1" t="n">
        <v>46290</v>
      </c>
      <c r="F549" t="inlineStr">
        <is>
          <t>JÖNKÖPINGS LÄN</t>
        </is>
      </c>
      <c r="G549" t="inlineStr">
        <is>
          <t>VÄRNAMO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46269</v>
      </c>
      <c r="E550" s="1" t="n">
        <v>46290</v>
      </c>
      <c r="F550" t="inlineStr">
        <is>
          <t>JÖNKÖPINGS LÄN</t>
        </is>
      </c>
      <c r="G550" t="inlineStr">
        <is>
          <t>VÄRNAMO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46290</v>
      </c>
      <c r="F551" t="inlineStr">
        <is>
          <t>JÖNKÖPINGS LÄN</t>
        </is>
      </c>
      <c r="G551" t="inlineStr">
        <is>
          <t>VÄRNAMO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46281</v>
      </c>
      <c r="E552" s="1" t="n">
        <v>46290</v>
      </c>
      <c r="F552" t="inlineStr">
        <is>
          <t>JÖNKÖPINGS LÄN</t>
        </is>
      </c>
      <c r="G552" t="inlineStr">
        <is>
          <t>VÄRNAMO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45271</v>
      </c>
      <c r="E553" s="1" t="n">
        <v>46290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46238</v>
      </c>
      <c r="E554" s="1" t="n">
        <v>46290</v>
      </c>
      <c r="F554" t="inlineStr">
        <is>
          <t>JÖNKÖPINGS LÄN</t>
        </is>
      </c>
      <c r="G554" t="inlineStr">
        <is>
          <t>VÄRNAMO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32413-2026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46238</v>
      </c>
      <c r="E555" s="1" t="n">
        <v>46290</v>
      </c>
      <c r="F555" t="inlineStr">
        <is>
          <t>JÖNKÖPINGS LÄN</t>
        </is>
      </c>
      <c r="G555" t="inlineStr">
        <is>
          <t>VÄRNAMO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61608-2023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45265</v>
      </c>
      <c r="E556" s="1" t="n">
        <v>46290</v>
      </c>
      <c r="F556" t="inlineStr">
        <is>
          <t>JÖNKÖPINGS LÄN</t>
        </is>
      </c>
      <c r="G556" t="inlineStr">
        <is>
          <t>VÄRNAMO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44998</v>
      </c>
      <c r="E557" s="1" t="n">
        <v>46290</v>
      </c>
      <c r="F557" t="inlineStr">
        <is>
          <t>JÖNKÖPINGS LÄN</t>
        </is>
      </c>
      <c r="G557" t="inlineStr">
        <is>
          <t>VÄRNAMO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44998</v>
      </c>
      <c r="E558" s="1" t="n">
        <v>46290</v>
      </c>
      <c r="F558" t="inlineStr">
        <is>
          <t>JÖNKÖPINGS LÄN</t>
        </is>
      </c>
      <c r="G558" t="inlineStr">
        <is>
          <t>VÄRNAMO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17464-2023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46290</v>
      </c>
      <c r="F559" t="inlineStr">
        <is>
          <t>JÖNKÖPINGS LÄN</t>
        </is>
      </c>
      <c r="G559" t="inlineStr">
        <is>
          <t>VÄRNAMO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45037</v>
      </c>
      <c r="E560" s="1" t="n">
        <v>46290</v>
      </c>
      <c r="F560" t="inlineStr">
        <is>
          <t>JÖNKÖPINGS LÄN</t>
        </is>
      </c>
      <c r="G560" t="inlineStr">
        <is>
          <t>VÄRNAMO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46290</v>
      </c>
      <c r="F561" t="inlineStr">
        <is>
          <t>JÖNKÖPINGS LÄN</t>
        </is>
      </c>
      <c r="G561" t="inlineStr">
        <is>
          <t>VÄRNAMO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46290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45589</v>
      </c>
      <c r="E563" s="1" t="n">
        <v>46290</v>
      </c>
      <c r="F563" t="inlineStr">
        <is>
          <t>JÖNKÖPINGS LÄN</t>
        </is>
      </c>
      <c r="G563" t="inlineStr">
        <is>
          <t>VÄRNAMO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55447-2025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45971</v>
      </c>
      <c r="E564" s="1" t="n">
        <v>46290</v>
      </c>
      <c r="F564" t="inlineStr">
        <is>
          <t>JÖNKÖPINGS LÄN</t>
        </is>
      </c>
      <c r="G564" t="inlineStr">
        <is>
          <t>VÄRNAMO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46290</v>
      </c>
      <c r="F565" t="inlineStr">
        <is>
          <t>JÖNKÖPINGS LÄN</t>
        </is>
      </c>
      <c r="G565" t="inlineStr">
        <is>
          <t>VÄRNAMO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38963-2026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46282</v>
      </c>
      <c r="E566" s="1" t="n">
        <v>46290</v>
      </c>
      <c r="F566" t="inlineStr">
        <is>
          <t>JÖNKÖPINGS LÄN</t>
        </is>
      </c>
      <c r="G566" t="inlineStr">
        <is>
          <t>VÄRNAMO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46290</v>
      </c>
      <c r="F567" t="inlineStr">
        <is>
          <t>JÖNKÖPINGS LÄN</t>
        </is>
      </c>
      <c r="G567" t="inlineStr">
        <is>
          <t>VÄRNAMO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45468</v>
      </c>
      <c r="E568" s="1" t="n">
        <v>46290</v>
      </c>
      <c r="F568" t="inlineStr">
        <is>
          <t>JÖNKÖPINGS LÄN</t>
        </is>
      </c>
      <c r="G568" t="inlineStr">
        <is>
          <t>VÄRNAMO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19090-2024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45428</v>
      </c>
      <c r="E569" s="1" t="n">
        <v>46290</v>
      </c>
      <c r="F569" t="inlineStr">
        <is>
          <t>JÖNKÖPINGS LÄN</t>
        </is>
      </c>
      <c r="G569" t="inlineStr">
        <is>
          <t>VÄRNAMO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46290</v>
      </c>
      <c r="F570" t="inlineStr">
        <is>
          <t>JÖNKÖPINGS LÄN</t>
        </is>
      </c>
      <c r="G570" t="inlineStr">
        <is>
          <t>VÄRNAMO</t>
        </is>
      </c>
      <c r="H570" t="inlineStr">
        <is>
          <t>Kyrkan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46290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46290</v>
      </c>
      <c r="F572" t="inlineStr">
        <is>
          <t>JÖNKÖPINGS LÄN</t>
        </is>
      </c>
      <c r="G572" t="inlineStr">
        <is>
          <t>VÄRNAMO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46290</v>
      </c>
      <c r="F573" t="inlineStr">
        <is>
          <t>JÖNKÖPINGS LÄN</t>
        </is>
      </c>
      <c r="G573" t="inlineStr">
        <is>
          <t>VÄRNAMO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22220-2024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45445</v>
      </c>
      <c r="E574" s="1" t="n">
        <v>46290</v>
      </c>
      <c r="F574" t="inlineStr">
        <is>
          <t>JÖNKÖPINGS LÄN</t>
        </is>
      </c>
      <c r="G574" t="inlineStr">
        <is>
          <t>VÄRNAMO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22994-2025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45790</v>
      </c>
      <c r="E575" s="1" t="n">
        <v>46290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46290</v>
      </c>
      <c r="F576" t="inlineStr">
        <is>
          <t>JÖNKÖPINGS LÄN</t>
        </is>
      </c>
      <c r="G576" t="inlineStr">
        <is>
          <t>VÄRNAMO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46244</v>
      </c>
      <c r="E577" s="1" t="n">
        <v>46290</v>
      </c>
      <c r="F577" t="inlineStr">
        <is>
          <t>JÖNKÖPINGS LÄN</t>
        </is>
      </c>
      <c r="G577" t="inlineStr">
        <is>
          <t>VÄRNAMO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41893-2024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45561</v>
      </c>
      <c r="E578" s="1" t="n">
        <v>46290</v>
      </c>
      <c r="F578" t="inlineStr">
        <is>
          <t>JÖNKÖPINGS LÄN</t>
        </is>
      </c>
      <c r="G578" t="inlineStr">
        <is>
          <t>VÄRNAMO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39604-2026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46289</v>
      </c>
      <c r="E579" s="1" t="n">
        <v>46290</v>
      </c>
      <c r="F579" t="inlineStr">
        <is>
          <t>JÖNKÖPINGS LÄN</t>
        </is>
      </c>
      <c r="G579" t="inlineStr">
        <is>
          <t>VÄRNAMO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45792</v>
      </c>
      <c r="E580" s="1" t="n">
        <v>46290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46290</v>
      </c>
      <c r="F581" t="inlineStr">
        <is>
          <t>JÖNKÖPINGS LÄN</t>
        </is>
      </c>
      <c r="G581" t="inlineStr">
        <is>
          <t>VÄRNAMO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46290</v>
      </c>
      <c r="F582" t="inlineStr">
        <is>
          <t>JÖNKÖPINGS LÄN</t>
        </is>
      </c>
      <c r="G582" t="inlineStr">
        <is>
          <t>VÄRNAMO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39374-2026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46288</v>
      </c>
      <c r="E583" s="1" t="n">
        <v>46290</v>
      </c>
      <c r="F583" t="inlineStr">
        <is>
          <t>JÖNKÖPINGS LÄN</t>
        </is>
      </c>
      <c r="G583" t="inlineStr">
        <is>
          <t>VÄRNAMO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39383-2026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46290</v>
      </c>
      <c r="F584" t="inlineStr">
        <is>
          <t>JÖNKÖPINGS LÄN</t>
        </is>
      </c>
      <c r="G584" t="inlineStr">
        <is>
          <t>VÄRNAMO</t>
        </is>
      </c>
      <c r="H584" t="inlineStr">
        <is>
          <t>Kommuner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46290</v>
      </c>
      <c r="F585" t="inlineStr">
        <is>
          <t>JÖNKÖPINGS LÄN</t>
        </is>
      </c>
      <c r="G585" t="inlineStr">
        <is>
          <t>VÄRNAMO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39356-2026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46290</v>
      </c>
      <c r="F586" t="inlineStr">
        <is>
          <t>JÖNKÖPINGS LÄN</t>
        </is>
      </c>
      <c r="G586" t="inlineStr">
        <is>
          <t>VÄRNAMO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46288</v>
      </c>
      <c r="E587" s="1" t="n">
        <v>46290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45674</v>
      </c>
      <c r="E588" s="1" t="n">
        <v>46290</v>
      </c>
      <c r="F588" t="inlineStr">
        <is>
          <t>JÖNKÖPINGS LÄN</t>
        </is>
      </c>
      <c r="G588" t="inlineStr">
        <is>
          <t>VÄRNAMO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44825</v>
      </c>
      <c r="E589" s="1" t="n">
        <v>46290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46290</v>
      </c>
      <c r="F590" t="inlineStr">
        <is>
          <t>JÖNKÖPINGS LÄN</t>
        </is>
      </c>
      <c r="G590" t="inlineStr">
        <is>
          <t>VÄRNAMO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46290</v>
      </c>
      <c r="F591" t="inlineStr">
        <is>
          <t>JÖNKÖPINGS LÄN</t>
        </is>
      </c>
      <c r="G591" t="inlineStr">
        <is>
          <t>VÄRNAMO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46290</v>
      </c>
      <c r="F592" t="inlineStr">
        <is>
          <t>JÖNKÖPINGS LÄN</t>
        </is>
      </c>
      <c r="G592" t="inlineStr">
        <is>
          <t>VÄRNAMO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42494-2023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45180</v>
      </c>
      <c r="E593" s="1" t="n">
        <v>46290</v>
      </c>
      <c r="F593" t="inlineStr">
        <is>
          <t>JÖNKÖPINGS LÄN</t>
        </is>
      </c>
      <c r="G593" t="inlineStr">
        <is>
          <t>VÄRNAMO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45670</v>
      </c>
      <c r="E594" s="1" t="n">
        <v>46290</v>
      </c>
      <c r="F594" t="inlineStr">
        <is>
          <t>JÖNKÖPINGS LÄN</t>
        </is>
      </c>
      <c r="G594" t="inlineStr">
        <is>
          <t>VÄRNAMO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46290</v>
      </c>
      <c r="F595" t="inlineStr">
        <is>
          <t>JÖNKÖPINGS LÄN</t>
        </is>
      </c>
      <c r="G595" t="inlineStr">
        <is>
          <t>VÄRNAMO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45649</v>
      </c>
      <c r="E596" s="1" t="n">
        <v>46290</v>
      </c>
      <c r="F596" t="inlineStr">
        <is>
          <t>JÖNKÖPINGS LÄN</t>
        </is>
      </c>
      <c r="G596" t="inlineStr">
        <is>
          <t>VÄRNAMO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28523-2025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45819</v>
      </c>
      <c r="E597" s="1" t="n">
        <v>46290</v>
      </c>
      <c r="F597" t="inlineStr">
        <is>
          <t>JÖNKÖPINGS LÄN</t>
        </is>
      </c>
      <c r="G597" t="inlineStr">
        <is>
          <t>VÄRNAMO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46290</v>
      </c>
      <c r="F598" t="inlineStr">
        <is>
          <t>JÖNKÖPINGS LÄN</t>
        </is>
      </c>
      <c r="G598" t="inlineStr">
        <is>
          <t>VÄRNAMO</t>
        </is>
      </c>
      <c r="H598" t="inlineStr">
        <is>
          <t>Kyrkan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29685-2025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46290</v>
      </c>
      <c r="F599" t="inlineStr">
        <is>
          <t>JÖNKÖPINGS LÄN</t>
        </is>
      </c>
      <c r="G599" t="inlineStr">
        <is>
          <t>VÄRNAMO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29683-2025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46290</v>
      </c>
      <c r="F600" t="inlineStr">
        <is>
          <t>JÖNKÖPINGS LÄN</t>
        </is>
      </c>
      <c r="G600" t="inlineStr">
        <is>
          <t>VÄRNAMO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30375-2025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46290</v>
      </c>
      <c r="F601" t="inlineStr">
        <is>
          <t>JÖNKÖPINGS LÄN</t>
        </is>
      </c>
      <c r="G601" t="inlineStr">
        <is>
          <t>VÄRNAMO</t>
        </is>
      </c>
      <c r="H601" t="inlineStr">
        <is>
          <t>Sveaskog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46290</v>
      </c>
      <c r="F602" t="inlineStr">
        <is>
          <t>JÖNKÖPINGS LÄN</t>
        </is>
      </c>
      <c r="G602" t="inlineStr">
        <is>
          <t>VÄRNAMO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45832</v>
      </c>
      <c r="E603" s="1" t="n">
        <v>46290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46290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45833</v>
      </c>
      <c r="E605" s="1" t="n">
        <v>46290</v>
      </c>
      <c r="F605" t="inlineStr">
        <is>
          <t>JÖNKÖPINGS LÄN</t>
        </is>
      </c>
      <c r="G605" t="inlineStr">
        <is>
          <t>VÄRNAMO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26119-2025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46290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46290</v>
      </c>
      <c r="F607" t="inlineStr">
        <is>
          <t>JÖNKÖPINGS LÄN</t>
        </is>
      </c>
      <c r="G607" t="inlineStr">
        <is>
          <t>VÄRNAMO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46290</v>
      </c>
      <c r="F608" t="inlineStr">
        <is>
          <t>JÖNKÖPINGS LÄN</t>
        </is>
      </c>
      <c r="G608" t="inlineStr">
        <is>
          <t>VÄRNAMO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46290</v>
      </c>
      <c r="F609" t="inlineStr">
        <is>
          <t>JÖNKÖPINGS LÄN</t>
        </is>
      </c>
      <c r="G609" t="inlineStr">
        <is>
          <t>VÄRNAMO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46290</v>
      </c>
      <c r="F610" t="inlineStr">
        <is>
          <t>JÖNKÖPINGS LÄN</t>
        </is>
      </c>
      <c r="G610" t="inlineStr">
        <is>
          <t>VÄRNAMO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34245-2025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46290</v>
      </c>
      <c r="F611" t="inlineStr">
        <is>
          <t>JÖNKÖPINGS LÄN</t>
        </is>
      </c>
      <c r="G611" t="inlineStr">
        <is>
          <t>VÄRNAMO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47054-2024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46290</v>
      </c>
      <c r="F612" t="inlineStr">
        <is>
          <t>JÖNKÖPINGS LÄN</t>
        </is>
      </c>
      <c r="G612" t="inlineStr">
        <is>
          <t>VÄRNAMO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46290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45853</v>
      </c>
      <c r="E614" s="1" t="n">
        <v>46290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45748</v>
      </c>
      <c r="E615" s="1" t="n">
        <v>46290</v>
      </c>
      <c r="F615" t="inlineStr">
        <is>
          <t>JÖNKÖPINGS LÄN</t>
        </is>
      </c>
      <c r="G615" t="inlineStr">
        <is>
          <t>VÄRNAMO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3709-2021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44379</v>
      </c>
      <c r="E616" s="1" t="n">
        <v>46290</v>
      </c>
      <c r="F616" t="inlineStr">
        <is>
          <t>JÖNKÖPINGS LÄN</t>
        </is>
      </c>
      <c r="G616" t="inlineStr">
        <is>
          <t>VÄRNAMO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3199-2023</t>
        </is>
      </c>
      <c r="B617" t="inlineStr">
        <is>
          <t>samrådsanmälan</t>
        </is>
      </c>
      <c r="C617" t="inlineStr">
        <is>
          <t>Dikesrensning</t>
        </is>
      </c>
      <c r="D617" s="1" t="n">
        <v>45194</v>
      </c>
      <c r="E617" s="1" t="n">
        <v>46290</v>
      </c>
      <c r="F617" t="inlineStr">
        <is>
          <t>JÖNKÖPINGS LÄN</t>
        </is>
      </c>
      <c r="G617" t="inlineStr">
        <is>
          <t>VÄRNAMO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1595-2024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45427</v>
      </c>
      <c r="E618" s="1" t="n">
        <v>46290</v>
      </c>
      <c r="F618" t="inlineStr">
        <is>
          <t>JÖNKÖPINGS LÄN</t>
        </is>
      </c>
      <c r="G618" t="inlineStr">
        <is>
          <t>VÄRNAMO</t>
        </is>
      </c>
      <c r="I618" t="n">
        <v>51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1451-2024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45418</v>
      </c>
      <c r="E619" s="1" t="n">
        <v>46290</v>
      </c>
      <c r="F619" t="inlineStr">
        <is>
          <t>JÖNKÖPINGS LÄN</t>
        </is>
      </c>
      <c r="G619" t="inlineStr">
        <is>
          <t>VÄRNAMO</t>
        </is>
      </c>
      <c r="I619" t="n">
        <v>29.6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2455-2023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45117</v>
      </c>
      <c r="E620" s="1" t="n">
        <v>46290</v>
      </c>
      <c r="F620" t="inlineStr">
        <is>
          <t>JÖNKÖPINGS LÄN</t>
        </is>
      </c>
      <c r="G620" t="inlineStr">
        <is>
          <t>VÄRNAMO</t>
        </is>
      </c>
      <c r="H620" t="inlineStr">
        <is>
          <t>Övriga Aktiebolag</t>
        </is>
      </c>
      <c r="I620" t="n">
        <v>49.1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793-2023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46290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2484-2023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46290</v>
      </c>
      <c r="F622" t="inlineStr">
        <is>
          <t>JÖNKÖPINGS LÄN</t>
        </is>
      </c>
      <c r="G622" t="inlineStr">
        <is>
          <t>VÄRNAMO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1553-2024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45425</v>
      </c>
      <c r="E623" s="1" t="n">
        <v>46290</v>
      </c>
      <c r="F623" t="inlineStr">
        <is>
          <t>JÖNKÖPINGS LÄN</t>
        </is>
      </c>
      <c r="G623" t="inlineStr">
        <is>
          <t>VÄRNAMO</t>
        </is>
      </c>
      <c r="I623" t="n">
        <v>30.6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9360-2021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44519</v>
      </c>
      <c r="E624" s="1" t="n">
        <v>46290</v>
      </c>
      <c r="F624" t="inlineStr">
        <is>
          <t>JÖNKÖPINGS LÄN</t>
        </is>
      </c>
      <c r="G624" t="inlineStr">
        <is>
          <t>VÄRNAMO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1855-2024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45440</v>
      </c>
      <c r="E625" s="1" t="n">
        <v>46290</v>
      </c>
      <c r="F625" t="inlineStr">
        <is>
          <t>JÖNKÖPINGS LÄN</t>
        </is>
      </c>
      <c r="G625" t="inlineStr">
        <is>
          <t>VÄRNAMO</t>
        </is>
      </c>
      <c r="I625" t="n">
        <v>24.8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4295-2024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45583</v>
      </c>
      <c r="E626" s="1" t="n">
        <v>46290</v>
      </c>
      <c r="F626" t="inlineStr">
        <is>
          <t>JÖNKÖPINGS LÄN</t>
        </is>
      </c>
      <c r="G626" t="inlineStr">
        <is>
          <t>VÄRNAMO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9347-2021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44519</v>
      </c>
      <c r="E627" s="1" t="n">
        <v>46290</v>
      </c>
      <c r="F627" t="inlineStr">
        <is>
          <t>JÖNKÖPINGS LÄN</t>
        </is>
      </c>
      <c r="G627" t="inlineStr">
        <is>
          <t>VÄRNAMO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2486-2023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46290</v>
      </c>
      <c r="F628" t="inlineStr">
        <is>
          <t>JÖNKÖPINGS LÄN</t>
        </is>
      </c>
      <c r="G628" t="inlineStr">
        <is>
          <t>VÄRNAMO</t>
        </is>
      </c>
      <c r="I628" t="n">
        <v>22.8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2317-2023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45105</v>
      </c>
      <c r="E629" s="1" t="n">
        <v>46290</v>
      </c>
      <c r="F629" t="inlineStr">
        <is>
          <t>JÖNKÖPINGS LÄN</t>
        </is>
      </c>
      <c r="G629" t="inlineStr">
        <is>
          <t>VÄRNAMO</t>
        </is>
      </c>
      <c r="I629" t="n">
        <v>10.8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2512-2023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45122</v>
      </c>
      <c r="E630" s="1" t="n">
        <v>46290</v>
      </c>
      <c r="F630" t="inlineStr">
        <is>
          <t>JÖNKÖPINGS LÄN</t>
        </is>
      </c>
      <c r="G630" t="inlineStr">
        <is>
          <t>VÄRNAMO</t>
        </is>
      </c>
      <c r="I630" t="n">
        <v>63.2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7728-2021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44479</v>
      </c>
      <c r="E631" s="1" t="n">
        <v>46290</v>
      </c>
      <c r="F631" t="inlineStr">
        <is>
          <t>JÖNKÖPINGS LÄN</t>
        </is>
      </c>
      <c r="G631" t="inlineStr">
        <is>
          <t>VÄRNAMO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3557-2025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46290</v>
      </c>
      <c r="F632" t="inlineStr">
        <is>
          <t>JÖNKÖPINGS LÄN</t>
        </is>
      </c>
      <c r="G632" t="inlineStr">
        <is>
          <t>VÄRNAMO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46018</v>
      </c>
      <c r="E633" s="1" t="n">
        <v>46290</v>
      </c>
      <c r="F633" t="inlineStr">
        <is>
          <t>JÖNKÖPINGS LÄN</t>
        </is>
      </c>
      <c r="G633" t="inlineStr">
        <is>
          <t>VÄRNAMO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249-2026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46050</v>
      </c>
      <c r="E634" s="1" t="n">
        <v>46290</v>
      </c>
      <c r="F634" t="inlineStr">
        <is>
          <t>JÖNKÖPINGS LÄN</t>
        </is>
      </c>
      <c r="G634" t="inlineStr">
        <is>
          <t>VÄRNAMO</t>
        </is>
      </c>
      <c r="H634" t="inlineStr">
        <is>
          <t>Kommuner</t>
        </is>
      </c>
      <c r="I634" t="n">
        <v>9.800000000000001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239-2026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46052</v>
      </c>
      <c r="E635" s="1" t="n">
        <v>46290</v>
      </c>
      <c r="F635" t="inlineStr">
        <is>
          <t>JÖNKÖPINGS LÄN</t>
        </is>
      </c>
      <c r="G635" t="inlineStr">
        <is>
          <t>VÄRNAMO</t>
        </is>
      </c>
      <c r="H635" t="inlineStr">
        <is>
          <t>Kommuner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2026-09-25T02:04:29Z</dcterms:created>
  <dcterms:modified xmlns:dcterms="http://purl.org/dc/terms/" xmlns:xsi="http://www.w3.org/2001/XMLSchema-instance" xsi:type="dcterms:W3CDTF">2026-09-25T02:04:30Z</dcterms:modified>
</cp:coreProperties>
</file>