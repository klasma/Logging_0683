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46256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46256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46256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46256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46256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46256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46256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49187-2023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45205</v>
      </c>
      <c r="E11" s="1" t="n">
        <v>46256</v>
      </c>
      <c r="F11" t="inlineStr">
        <is>
          <t>JÖNKÖPINGS LÄN</t>
        </is>
      </c>
      <c r="G11" t="inlineStr">
        <is>
          <t>VÄRNAMO</t>
        </is>
      </c>
      <c r="I11" t="n">
        <v>5.3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Fällmossa
Guldlockmossa
Gulpudrad spiklav</t>
        </is>
      </c>
      <c r="W11">
        <f>HYPERLINK("https://klasma.github.io/Logging_0683/artfynd/A 49187-2023 artfynd.xlsx", "A 49187-2023")</f>
        <v/>
      </c>
      <c r="X11">
        <f>HYPERLINK("https://klasma.github.io/Logging_0683/kartor/A 49187-2023 karta.png", "A 49187-2023")</f>
        <v/>
      </c>
      <c r="Y11">
        <f>HYPERLINK("https://klasma.github.io/Logging_0683/kartor_geotiff/A 49187-2023 georefererad karta.tif", "A 49187-2023")</f>
        <v/>
      </c>
      <c r="AA11">
        <f>HYPERLINK("https://klasma.github.io/Logging_0683/klagomål/A 49187-2023 FSC-klagomål.docx", "A 49187-2023")</f>
        <v/>
      </c>
      <c r="AB11">
        <f>HYPERLINK("https://klasma.github.io/Logging_0683/klagomålsmail/A 49187-2023 FSC-klagomål mail.docx", "A 49187-2023")</f>
        <v/>
      </c>
      <c r="AC11">
        <f>HYPERLINK("https://klasma.github.io/Logging_0683/tillsyn/A 49187-2023 tillsynsbegäran.docx", "A 49187-2023")</f>
        <v/>
      </c>
      <c r="AD11">
        <f>HYPERLINK("https://klasma.github.io/Logging_0683/tillsynsmail/A 49187-2023 tillsynsbegäran mail.docx", "A 49187-2023")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46256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46256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46256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46256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46256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46256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46256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23613-2023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45077</v>
      </c>
      <c r="E19" s="1" t="n">
        <v>46256</v>
      </c>
      <c r="F19" t="inlineStr">
        <is>
          <t>JÖNKÖPINGS LÄN</t>
        </is>
      </c>
      <c r="G19" t="inlineStr">
        <is>
          <t>VÄRNAMO</t>
        </is>
      </c>
      <c r="I19" t="n">
        <v>1.5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HYPERLINK("https://klasma.github.io/Logging_0683/artfynd/A 23613-2023 artfynd.xlsx", "A 23613-2023")</f>
        <v/>
      </c>
      <c r="X19">
        <f>HYPERLINK("https://klasma.github.io/Logging_0683/kartor/A 23613-2023 karta.png", "A 23613-2023")</f>
        <v/>
      </c>
      <c r="Y19">
        <f>HYPERLINK("https://klasma.github.io/Logging_0683/kartor_geotiff/A 23613-2023 georefererad karta.tif", "A 23613-2023")</f>
        <v/>
      </c>
      <c r="AA19">
        <f>HYPERLINK("https://klasma.github.io/Logging_0683/klagomål/A 23613-2023 FSC-klagomål.docx", "A 23613-2023")</f>
        <v/>
      </c>
      <c r="AB19">
        <f>HYPERLINK("https://klasma.github.io/Logging_0683/klagomålsmail/A 23613-2023 FSC-klagomål mail.docx", "A 23613-2023")</f>
        <v/>
      </c>
      <c r="AC19">
        <f>HYPERLINK("https://klasma.github.io/Logging_0683/tillsyn/A 23613-2023 tillsynsbegäran.docx", "A 23613-2023")</f>
        <v/>
      </c>
      <c r="AD19">
        <f>HYPERLINK("https://klasma.github.io/Logging_0683/tillsynsmail/A 23613-2023 tillsynsbegäran mail.docx", "A 23613-2023")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46256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46256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46256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46256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46256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9042-2025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46256</v>
      </c>
      <c r="F25" t="inlineStr">
        <is>
          <t>JÖNKÖPINGS LÄN</t>
        </is>
      </c>
      <c r="G25" t="inlineStr">
        <is>
          <t>VÄRNAMO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Lönnsavblomfluga</t>
        </is>
      </c>
      <c r="W25">
        <f>HYPERLINK("https://klasma.github.io/Logging_0683/artfynd/A 9042-2025 artfynd.xlsx", "A 9042-2025")</f>
        <v/>
      </c>
      <c r="X25">
        <f>HYPERLINK("https://klasma.github.io/Logging_0683/kartor/A 9042-2025 karta.png", "A 9042-2025")</f>
        <v/>
      </c>
      <c r="Y25">
        <f>HYPERLINK("https://klasma.github.io/Logging_0683/kartor_geotiff/A 9042-2025 georefererad karta.tif", "A 9042-2025")</f>
        <v/>
      </c>
      <c r="AA25">
        <f>HYPERLINK("https://klasma.github.io/Logging_0683/klagomål/A 9042-2025 FSC-klagomål.docx", "A 9042-2025")</f>
        <v/>
      </c>
      <c r="AB25">
        <f>HYPERLINK("https://klasma.github.io/Logging_0683/klagomålsmail/A 9042-2025 FSC-klagomål mail.docx", "A 9042-2025")</f>
        <v/>
      </c>
      <c r="AC25">
        <f>HYPERLINK("https://klasma.github.io/Logging_0683/tillsyn/A 9042-2025 tillsynsbegäran.docx", "A 9042-2025")</f>
        <v/>
      </c>
      <c r="AD25">
        <f>HYPERLINK("https://klasma.github.io/Logging_0683/tillsynsmail/A 9042-2025 tillsynsbegäran mail.docx", "A 9042-2025")</f>
        <v/>
      </c>
    </row>
    <row r="26" ht="15" customHeight="1">
      <c r="A26" t="inlineStr">
        <is>
          <t>A 5761-2024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46256</v>
      </c>
      <c r="F26" t="inlineStr">
        <is>
          <t>JÖNKÖPINGS LÄN</t>
        </is>
      </c>
      <c r="G26" t="inlineStr">
        <is>
          <t>VÄRNAMO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HYPERLINK("https://klasma.github.io/Logging_0683/artfynd/A 5761-2024 artfynd.xlsx", "A 5761-2024")</f>
        <v/>
      </c>
      <c r="X26">
        <f>HYPERLINK("https://klasma.github.io/Logging_0683/kartor/A 5761-2024 karta.png", "A 5761-2024")</f>
        <v/>
      </c>
      <c r="Y26">
        <f>HYPERLINK("https://klasma.github.io/Logging_0683/kartor_geotiff/A 5761-2024 georefererad karta.tif", "A 5761-2024")</f>
        <v/>
      </c>
      <c r="AA26">
        <f>HYPERLINK("https://klasma.github.io/Logging_0683/klagomål/A 5761-2024 FSC-klagomål.docx", "A 5761-2024")</f>
        <v/>
      </c>
      <c r="AB26">
        <f>HYPERLINK("https://klasma.github.io/Logging_0683/klagomålsmail/A 5761-2024 FSC-klagomål mail.docx", "A 5761-2024")</f>
        <v/>
      </c>
      <c r="AC26">
        <f>HYPERLINK("https://klasma.github.io/Logging_0683/tillsyn/A 5761-2024 tillsynsbegäran.docx", "A 5761-2024")</f>
        <v/>
      </c>
      <c r="AD26">
        <f>HYPERLINK("https://klasma.github.io/Logging_0683/tillsynsmail/A 5761-2024 tillsynsbegäran mail.docx", "A 5761-2024")</f>
        <v/>
      </c>
    </row>
    <row r="27" ht="15" customHeight="1">
      <c r="A27" t="inlineStr">
        <is>
          <t>A 61264-2023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46256</v>
      </c>
      <c r="F27" t="inlineStr">
        <is>
          <t>JÖNKÖPINGS LÄN</t>
        </is>
      </c>
      <c r="G27" t="inlineStr">
        <is>
          <t>VÄRNAMO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Gullpudra</t>
        </is>
      </c>
      <c r="W27">
        <f>HYPERLINK("https://klasma.github.io/Logging_0683/artfynd/A 61264-2023 artfynd.xlsx", "A 61264-2023")</f>
        <v/>
      </c>
      <c r="X27">
        <f>HYPERLINK("https://klasma.github.io/Logging_0683/kartor/A 61264-2023 karta.png", "A 61264-2023")</f>
        <v/>
      </c>
      <c r="Y27">
        <f>HYPERLINK("https://klasma.github.io/Logging_0683/kartor_geotiff/A 61264-2023 georefererad karta.tif", "A 61264-2023")</f>
        <v/>
      </c>
      <c r="AA27">
        <f>HYPERLINK("https://klasma.github.io/Logging_0683/klagomål/A 61264-2023 FSC-klagomål.docx", "A 61264-2023")</f>
        <v/>
      </c>
      <c r="AB27">
        <f>HYPERLINK("https://klasma.github.io/Logging_0683/klagomålsmail/A 61264-2023 FSC-klagomål mail.docx", "A 61264-2023")</f>
        <v/>
      </c>
      <c r="AC27">
        <f>HYPERLINK("https://klasma.github.io/Logging_0683/tillsyn/A 61264-2023 tillsynsbegäran.docx", "A 61264-2023")</f>
        <v/>
      </c>
      <c r="AD27">
        <f>HYPERLINK("https://klasma.github.io/Logging_0683/tillsynsmail/A 61264-2023 tillsynsbegäran mail.docx", "A 61264-2023")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46256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23920-2026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46256</v>
      </c>
      <c r="F29" t="inlineStr">
        <is>
          <t>JÖNKÖPINGS LÄN</t>
        </is>
      </c>
      <c r="G29" t="inlineStr">
        <is>
          <t>VÄRNAMO</t>
        </is>
      </c>
      <c r="I29" t="n">
        <v>0.7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Brandticka</t>
        </is>
      </c>
      <c r="W29">
        <f>HYPERLINK("https://klasma.github.io/Logging_0683/artfynd/A 23920-2026 artfynd.xlsx", "A 23920-2026")</f>
        <v/>
      </c>
      <c r="X29">
        <f>HYPERLINK("https://klasma.github.io/Logging_0683/kartor/A 23920-2026 karta.png", "A 23920-2026")</f>
        <v/>
      </c>
      <c r="Y29">
        <f>HYPERLINK("https://klasma.github.io/Logging_0683/kartor_geotiff/A 23920-2026 georefererad karta.tif", "A 23920-2026")</f>
        <v/>
      </c>
      <c r="AA29">
        <f>HYPERLINK("https://klasma.github.io/Logging_0683/klagomål/A 23920-2026 FSC-klagomål.docx", "A 23920-2026")</f>
        <v/>
      </c>
      <c r="AB29">
        <f>HYPERLINK("https://klasma.github.io/Logging_0683/klagomålsmail/A 23920-2026 FSC-klagomål mail.docx", "A 23920-2026")</f>
        <v/>
      </c>
      <c r="AC29">
        <f>HYPERLINK("https://klasma.github.io/Logging_0683/tillsyn/A 23920-2026 tillsynsbegäran.docx", "A 23920-2026")</f>
        <v/>
      </c>
      <c r="AD29">
        <f>HYPERLINK("https://klasma.github.io/Logging_0683/tillsynsmail/A 23920-2026 tillsynsbegäran mail.docx", "A 23920-2026")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46256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10842-2026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46078</v>
      </c>
      <c r="E31" s="1" t="n">
        <v>46256</v>
      </c>
      <c r="F31" t="inlineStr">
        <is>
          <t>JÖNKÖPINGS LÄN</t>
        </is>
      </c>
      <c r="G31" t="inlineStr">
        <is>
          <t>VÄRNAMO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Klockgentiana</t>
        </is>
      </c>
      <c r="W31">
        <f>HYPERLINK("https://klasma.github.io/Logging_0683/artfynd/A 10842-2026 artfynd.xlsx", "A 10842-2026")</f>
        <v/>
      </c>
      <c r="X31">
        <f>HYPERLINK("https://klasma.github.io/Logging_0683/kartor/A 10842-2026 karta.png", "A 10842-2026")</f>
        <v/>
      </c>
      <c r="Y31">
        <f>HYPERLINK("https://klasma.github.io/Logging_0683/kartor_geotiff/A 10842-2026 georefererad karta.tif", "A 10842-2026")</f>
        <v/>
      </c>
      <c r="AA31">
        <f>HYPERLINK("https://klasma.github.io/Logging_0683/klagomål/A 10842-2026 FSC-klagomål.docx", "A 10842-2026")</f>
        <v/>
      </c>
      <c r="AB31">
        <f>HYPERLINK("https://klasma.github.io/Logging_0683/klagomålsmail/A 10842-2026 FSC-klagomål mail.docx", "A 10842-2026")</f>
        <v/>
      </c>
      <c r="AC31">
        <f>HYPERLINK("https://klasma.github.io/Logging_0683/tillsyn/A 10842-2026 tillsynsbegäran.docx", "A 10842-2026")</f>
        <v/>
      </c>
      <c r="AD31">
        <f>HYPERLINK("https://klasma.github.io/Logging_0683/tillsynsmail/A 10842-2026 tillsynsbegäran mail.docx", "A 10842-2026")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46256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26198-2023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45091</v>
      </c>
      <c r="E33" s="1" t="n">
        <v>46256</v>
      </c>
      <c r="F33" t="inlineStr">
        <is>
          <t>JÖNKÖPINGS LÄN</t>
        </is>
      </c>
      <c r="G33" t="inlineStr">
        <is>
          <t>VÄRNAMO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26198-2023 artfynd.xlsx", "A 26198-2023")</f>
        <v/>
      </c>
      <c r="X33">
        <f>HYPERLINK("https://klasma.github.io/Logging_0683/kartor/A 26198-2023 karta.png", "A 26198-2023")</f>
        <v/>
      </c>
      <c r="Y33">
        <f>HYPERLINK("https://klasma.github.io/Logging_0683/kartor_geotiff/A 26198-2023 georefererad karta.tif", "A 26198-2023")</f>
        <v/>
      </c>
      <c r="AA33">
        <f>HYPERLINK("https://klasma.github.io/Logging_0683/klagomål/A 26198-2023 FSC-klagomål.docx", "A 26198-2023")</f>
        <v/>
      </c>
      <c r="AB33">
        <f>HYPERLINK("https://klasma.github.io/Logging_0683/klagomålsmail/A 26198-2023 FSC-klagomål mail.docx", "A 26198-2023")</f>
        <v/>
      </c>
      <c r="AC33">
        <f>HYPERLINK("https://klasma.github.io/Logging_0683/tillsyn/A 26198-2023 tillsynsbegäran.docx", "A 26198-2023")</f>
        <v/>
      </c>
      <c r="AD33">
        <f>HYPERLINK("https://klasma.github.io/Logging_0683/tillsynsmail/A 26198-2023 tillsynsbegäran mail.docx", "A 26198-2023")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46256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23370-2023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46256</v>
      </c>
      <c r="F35" t="inlineStr">
        <is>
          <t>JÖNKÖPINGS LÄN</t>
        </is>
      </c>
      <c r="G35" t="inlineStr">
        <is>
          <t>VÄRNAMO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HYPERLINK("https://klasma.github.io/Logging_0683/artfynd/A 23370-2023 artfynd.xlsx", "A 23370-2023")</f>
        <v/>
      </c>
      <c r="X35">
        <f>HYPERLINK("https://klasma.github.io/Logging_0683/kartor/A 23370-2023 karta.png", "A 23370-2023")</f>
        <v/>
      </c>
      <c r="Y35">
        <f>HYPERLINK("https://klasma.github.io/Logging_0683/kartor_geotiff/A 23370-2023 georefererad karta.tif", "A 23370-2023")</f>
        <v/>
      </c>
      <c r="AA35">
        <f>HYPERLINK("https://klasma.github.io/Logging_0683/klagomål/A 23370-2023 FSC-klagomål.docx", "A 23370-2023")</f>
        <v/>
      </c>
      <c r="AB35">
        <f>HYPERLINK("https://klasma.github.io/Logging_0683/klagomålsmail/A 23370-2023 FSC-klagomål mail.docx", "A 23370-2023")</f>
        <v/>
      </c>
      <c r="AC35">
        <f>HYPERLINK("https://klasma.github.io/Logging_0683/tillsyn/A 23370-2023 tillsynsbegäran.docx", "A 23370-2023")</f>
        <v/>
      </c>
      <c r="AD35">
        <f>HYPERLINK("https://klasma.github.io/Logging_0683/tillsynsmail/A 23370-2023 tillsynsbegäran mail.docx", "A 23370-2023")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46256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46256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46256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46256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46256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46256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6758-2022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46256</v>
      </c>
      <c r="F42" t="inlineStr">
        <is>
          <t>JÖNKÖPINGS LÄN</t>
        </is>
      </c>
      <c r="G42" t="inlineStr">
        <is>
          <t>VÄRNAMO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46256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46256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46256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46256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46256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46256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46256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46256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46256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46256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46256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46256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46256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46256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46256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46256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46256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46256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46256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46256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46256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44729</v>
      </c>
      <c r="E64" s="1" t="n">
        <v>46256</v>
      </c>
      <c r="F64" t="inlineStr">
        <is>
          <t>JÖNKÖPINGS LÄN</t>
        </is>
      </c>
      <c r="G64" t="inlineStr">
        <is>
          <t>VÄRNAMO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46256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46256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46256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46256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46256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46256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46256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46256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46256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46256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46256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46256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46256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46256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46256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46256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46256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46256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46256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46256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46256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46256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44496</v>
      </c>
      <c r="E87" s="1" t="n">
        <v>46256</v>
      </c>
      <c r="F87" t="inlineStr">
        <is>
          <t>JÖNKÖPINGS LÄN</t>
        </is>
      </c>
      <c r="G87" t="inlineStr">
        <is>
          <t>VÄRNAMO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46256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46256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46256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46256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46256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46256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46256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46256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44502</v>
      </c>
      <c r="E96" s="1" t="n">
        <v>46256</v>
      </c>
      <c r="F96" t="inlineStr">
        <is>
          <t>JÖNKÖPINGS LÄN</t>
        </is>
      </c>
      <c r="G96" t="inlineStr">
        <is>
          <t>VÄRNAMO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46256</v>
      </c>
      <c r="F97" t="inlineStr">
        <is>
          <t>JÖNKÖPINGS LÄN</t>
        </is>
      </c>
      <c r="G97" t="inlineStr">
        <is>
          <t>VÄRNAMO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46256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46256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44616</v>
      </c>
      <c r="E100" s="1" t="n">
        <v>46256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46256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46256</v>
      </c>
      <c r="F102" t="inlineStr">
        <is>
          <t>JÖNKÖPINGS LÄN</t>
        </is>
      </c>
      <c r="G102" t="inlineStr">
        <is>
          <t>VÄRNAMO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46256</v>
      </c>
      <c r="F103" t="inlineStr">
        <is>
          <t>JÖNKÖPINGS LÄN</t>
        </is>
      </c>
      <c r="G103" t="inlineStr">
        <is>
          <t>VÄRNAMO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45439</v>
      </c>
      <c r="E104" s="1" t="n">
        <v>46256</v>
      </c>
      <c r="F104" t="inlineStr">
        <is>
          <t>JÖNKÖPINGS LÄN</t>
        </is>
      </c>
      <c r="G104" t="inlineStr">
        <is>
          <t>VÄRNAMO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45245</v>
      </c>
      <c r="E105" s="1" t="n">
        <v>46256</v>
      </c>
      <c r="F105" t="inlineStr">
        <is>
          <t>JÖNKÖPINGS LÄN</t>
        </is>
      </c>
      <c r="G105" t="inlineStr">
        <is>
          <t>VÄRNAMO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45750</v>
      </c>
      <c r="E106" s="1" t="n">
        <v>46256</v>
      </c>
      <c r="F106" t="inlineStr">
        <is>
          <t>JÖNKÖPINGS LÄN</t>
        </is>
      </c>
      <c r="G106" t="inlineStr">
        <is>
          <t>VÄRNAMO</t>
        </is>
      </c>
      <c r="I106" t="n">
        <v>10.4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45324</v>
      </c>
      <c r="E107" s="1" t="n">
        <v>46256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46256</v>
      </c>
      <c r="F108" t="inlineStr">
        <is>
          <t>JÖNKÖPINGS LÄN</t>
        </is>
      </c>
      <c r="G108" t="inlineStr">
        <is>
          <t>VÄRNAMO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45670</v>
      </c>
      <c r="E109" s="1" t="n">
        <v>46256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46256</v>
      </c>
      <c r="F110" t="inlineStr">
        <is>
          <t>JÖNKÖPINGS LÄN</t>
        </is>
      </c>
      <c r="G110" t="inlineStr">
        <is>
          <t>VÄRNAMO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46256</v>
      </c>
      <c r="F111" t="inlineStr">
        <is>
          <t>JÖNKÖPINGS LÄN</t>
        </is>
      </c>
      <c r="G111" t="inlineStr">
        <is>
          <t>VÄRNAMO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46256</v>
      </c>
      <c r="F112" t="inlineStr">
        <is>
          <t>JÖNKÖPINGS LÄN</t>
        </is>
      </c>
      <c r="G112" t="inlineStr">
        <is>
          <t>VÄRNAMO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46256</v>
      </c>
      <c r="F113" t="inlineStr">
        <is>
          <t>JÖNKÖPINGS LÄN</t>
        </is>
      </c>
      <c r="G113" t="inlineStr">
        <is>
          <t>VÄRNAMO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44662</v>
      </c>
      <c r="E114" s="1" t="n">
        <v>46256</v>
      </c>
      <c r="F114" t="inlineStr">
        <is>
          <t>JÖNKÖPINGS LÄN</t>
        </is>
      </c>
      <c r="G114" t="inlineStr">
        <is>
          <t>VÄRNAMO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46256</v>
      </c>
      <c r="F115" t="inlineStr">
        <is>
          <t>JÖNKÖPINGS LÄN</t>
        </is>
      </c>
      <c r="G115" t="inlineStr">
        <is>
          <t>VÄRNAMO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46256</v>
      </c>
      <c r="F116" t="inlineStr">
        <is>
          <t>JÖNKÖPINGS LÄN</t>
        </is>
      </c>
      <c r="G116" t="inlineStr">
        <is>
          <t>VÄRNAMO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44678</v>
      </c>
      <c r="E117" s="1" t="n">
        <v>46256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45853</v>
      </c>
      <c r="E118" s="1" t="n">
        <v>46256</v>
      </c>
      <c r="F118" t="inlineStr">
        <is>
          <t>JÖNKÖPINGS LÄN</t>
        </is>
      </c>
      <c r="G118" t="inlineStr">
        <is>
          <t>VÄRNAMO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46256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47987-2022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44853</v>
      </c>
      <c r="E120" s="1" t="n">
        <v>46256</v>
      </c>
      <c r="F120" t="inlineStr">
        <is>
          <t>JÖNKÖPINGS LÄN</t>
        </is>
      </c>
      <c r="G120" t="inlineStr">
        <is>
          <t>VÄRNAMO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45670</v>
      </c>
      <c r="E121" s="1" t="n">
        <v>46256</v>
      </c>
      <c r="F121" t="inlineStr">
        <is>
          <t>JÖNKÖPINGS LÄN</t>
        </is>
      </c>
      <c r="G121" t="inlineStr">
        <is>
          <t>VÄRNAMO</t>
        </is>
      </c>
      <c r="I121" t="n">
        <v>12.6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46256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44722</v>
      </c>
      <c r="E123" s="1" t="n">
        <v>46256</v>
      </c>
      <c r="F123" t="inlineStr">
        <is>
          <t>JÖNKÖPINGS LÄN</t>
        </is>
      </c>
      <c r="G123" t="inlineStr">
        <is>
          <t>VÄRNAMO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46256</v>
      </c>
      <c r="F124" t="inlineStr">
        <is>
          <t>JÖNKÖPINGS LÄN</t>
        </is>
      </c>
      <c r="G124" t="inlineStr">
        <is>
          <t>VÄRNAMO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46256</v>
      </c>
      <c r="F125" t="inlineStr">
        <is>
          <t>JÖNKÖPINGS LÄN</t>
        </is>
      </c>
      <c r="G125" t="inlineStr">
        <is>
          <t>VÄRNAMO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46256</v>
      </c>
      <c r="F126" t="inlineStr">
        <is>
          <t>JÖNKÖPINGS LÄN</t>
        </is>
      </c>
      <c r="G126" t="inlineStr">
        <is>
          <t>VÄRNAMO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46256</v>
      </c>
      <c r="F127" t="inlineStr">
        <is>
          <t>JÖNKÖPINGS LÄN</t>
        </is>
      </c>
      <c r="G127" t="inlineStr">
        <is>
          <t>VÄRNAMO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54000-2021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46256</v>
      </c>
      <c r="F128" t="inlineStr">
        <is>
          <t>JÖNKÖPINGS LÄN</t>
        </is>
      </c>
      <c r="G128" t="inlineStr">
        <is>
          <t>VÄRNAMO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44727</v>
      </c>
      <c r="E129" s="1" t="n">
        <v>46256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45853</v>
      </c>
      <c r="E130" s="1" t="n">
        <v>46256</v>
      </c>
      <c r="F130" t="inlineStr">
        <is>
          <t>JÖNKÖPINGS LÄN</t>
        </is>
      </c>
      <c r="G130" t="inlineStr">
        <is>
          <t>VÄRNAMO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46256</v>
      </c>
      <c r="F131" t="inlineStr">
        <is>
          <t>JÖNKÖPINGS LÄN</t>
        </is>
      </c>
      <c r="G131" t="inlineStr">
        <is>
          <t>VÄRNAMO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46256</v>
      </c>
      <c r="F132" t="inlineStr">
        <is>
          <t>JÖNKÖPINGS LÄN</t>
        </is>
      </c>
      <c r="G132" t="inlineStr">
        <is>
          <t>VÄRNAMO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46256</v>
      </c>
      <c r="F133" t="inlineStr">
        <is>
          <t>JÖNKÖPINGS LÄN</t>
        </is>
      </c>
      <c r="G133" t="inlineStr">
        <is>
          <t>VÄRNAMO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44929</v>
      </c>
      <c r="E134" s="1" t="n">
        <v>46256</v>
      </c>
      <c r="F134" t="inlineStr">
        <is>
          <t>JÖNKÖPINGS LÄN</t>
        </is>
      </c>
      <c r="G134" t="inlineStr">
        <is>
          <t>VÄRNAMO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46256</v>
      </c>
      <c r="F135" t="inlineStr">
        <is>
          <t>JÖNKÖPINGS LÄN</t>
        </is>
      </c>
      <c r="G135" t="inlineStr">
        <is>
          <t>VÄRNAMO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45649</v>
      </c>
      <c r="E136" s="1" t="n">
        <v>46256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45175</v>
      </c>
      <c r="E137" s="1" t="n">
        <v>46256</v>
      </c>
      <c r="F137" t="inlineStr">
        <is>
          <t>JÖNKÖPINGS LÄN</t>
        </is>
      </c>
      <c r="G137" t="inlineStr">
        <is>
          <t>VÄRNAMO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46256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46256</v>
      </c>
      <c r="F139" t="inlineStr">
        <is>
          <t>JÖNKÖPINGS LÄN</t>
        </is>
      </c>
      <c r="G139" t="inlineStr">
        <is>
          <t>VÄRNAMO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45566</v>
      </c>
      <c r="E140" s="1" t="n">
        <v>46256</v>
      </c>
      <c r="F140" t="inlineStr">
        <is>
          <t>JÖNKÖPINGS LÄN</t>
        </is>
      </c>
      <c r="G140" t="inlineStr">
        <is>
          <t>VÄRNAMO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46256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40486-2022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44823</v>
      </c>
      <c r="E142" s="1" t="n">
        <v>46256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46256</v>
      </c>
      <c r="F143" t="inlineStr">
        <is>
          <t>JÖNKÖPINGS LÄN</t>
        </is>
      </c>
      <c r="G143" t="inlineStr">
        <is>
          <t>VÄRNAMO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45386</v>
      </c>
      <c r="E144" s="1" t="n">
        <v>46256</v>
      </c>
      <c r="F144" t="inlineStr">
        <is>
          <t>JÖNKÖPINGS LÄN</t>
        </is>
      </c>
      <c r="G144" t="inlineStr">
        <is>
          <t>VÄRNAMO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46256</v>
      </c>
      <c r="F145" t="inlineStr">
        <is>
          <t>JÖNKÖPINGS LÄN</t>
        </is>
      </c>
      <c r="G145" t="inlineStr">
        <is>
          <t>VÄRNAMO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46256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46256</v>
      </c>
      <c r="F147" t="inlineStr">
        <is>
          <t>JÖNKÖPINGS LÄN</t>
        </is>
      </c>
      <c r="G147" t="inlineStr">
        <is>
          <t>VÄRNAMO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45758</v>
      </c>
      <c r="E148" s="1" t="n">
        <v>46256</v>
      </c>
      <c r="F148" t="inlineStr">
        <is>
          <t>JÖNKÖPINGS LÄN</t>
        </is>
      </c>
      <c r="G148" t="inlineStr">
        <is>
          <t>VÄRNAMO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46256</v>
      </c>
      <c r="F149" t="inlineStr">
        <is>
          <t>JÖNKÖPINGS LÄN</t>
        </is>
      </c>
      <c r="G149" t="inlineStr">
        <is>
          <t>VÄRNAMO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46256</v>
      </c>
      <c r="F150" t="inlineStr">
        <is>
          <t>JÖNKÖPINGS LÄN</t>
        </is>
      </c>
      <c r="G150" t="inlineStr">
        <is>
          <t>VÄRNAMO</t>
        </is>
      </c>
      <c r="H150" t="inlineStr">
        <is>
          <t>Kyrkan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46256</v>
      </c>
      <c r="F151" t="inlineStr">
        <is>
          <t>JÖNKÖPINGS LÄN</t>
        </is>
      </c>
      <c r="G151" t="inlineStr">
        <is>
          <t>VÄRNAMO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46256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46256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46256</v>
      </c>
      <c r="F154" t="inlineStr">
        <is>
          <t>JÖNKÖPINGS LÄN</t>
        </is>
      </c>
      <c r="G154" t="inlineStr">
        <is>
          <t>VÄRNAMO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45056</v>
      </c>
      <c r="E155" s="1" t="n">
        <v>46256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45567</v>
      </c>
      <c r="E156" s="1" t="n">
        <v>46256</v>
      </c>
      <c r="F156" t="inlineStr">
        <is>
          <t>JÖNKÖPINGS LÄN</t>
        </is>
      </c>
      <c r="G156" t="inlineStr">
        <is>
          <t>VÄRNAMO</t>
        </is>
      </c>
      <c r="H156" t="inlineStr">
        <is>
          <t>Kommuner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46256</v>
      </c>
      <c r="F157" t="inlineStr">
        <is>
          <t>JÖNKÖPINGS LÄN</t>
        </is>
      </c>
      <c r="G157" t="inlineStr">
        <is>
          <t>VÄRNAMO</t>
        </is>
      </c>
      <c r="H157" t="inlineStr">
        <is>
          <t>Kommuner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44473</v>
      </c>
      <c r="E158" s="1" t="n">
        <v>46256</v>
      </c>
      <c r="F158" t="inlineStr">
        <is>
          <t>JÖNKÖPINGS LÄN</t>
        </is>
      </c>
      <c r="G158" t="inlineStr">
        <is>
          <t>VÄRNAMO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46256</v>
      </c>
      <c r="F159" t="inlineStr">
        <is>
          <t>JÖNKÖPINGS LÄN</t>
        </is>
      </c>
      <c r="G159" t="inlineStr">
        <is>
          <t>VÄRNAMO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46256</v>
      </c>
      <c r="F160" t="inlineStr">
        <is>
          <t>JÖNKÖPINGS LÄN</t>
        </is>
      </c>
      <c r="G160" t="inlineStr">
        <is>
          <t>VÄRNAMO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46256</v>
      </c>
      <c r="F161" t="inlineStr">
        <is>
          <t>JÖNKÖPINGS LÄN</t>
        </is>
      </c>
      <c r="G161" t="inlineStr">
        <is>
          <t>VÄRNAMO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46256</v>
      </c>
      <c r="F162" t="inlineStr">
        <is>
          <t>JÖNKÖPINGS LÄN</t>
        </is>
      </c>
      <c r="G162" t="inlineStr">
        <is>
          <t>VÄRNAMO</t>
        </is>
      </c>
      <c r="H162" t="inlineStr">
        <is>
          <t>Sveaskog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46256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46256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46256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46256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46256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46256</v>
      </c>
      <c r="F168" t="inlineStr">
        <is>
          <t>JÖNKÖPINGS LÄN</t>
        </is>
      </c>
      <c r="G168" t="inlineStr">
        <is>
          <t>VÄRNAMO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46256</v>
      </c>
      <c r="F169" t="inlineStr">
        <is>
          <t>JÖNKÖPINGS LÄN</t>
        </is>
      </c>
      <c r="G169" t="inlineStr">
        <is>
          <t>VÄRNAMO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46256</v>
      </c>
      <c r="F170" t="inlineStr">
        <is>
          <t>JÖNKÖPINGS LÄN</t>
        </is>
      </c>
      <c r="G170" t="inlineStr">
        <is>
          <t>VÄRNAMO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46256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46256</v>
      </c>
      <c r="F172" t="inlineStr">
        <is>
          <t>JÖNKÖPINGS LÄN</t>
        </is>
      </c>
      <c r="G172" t="inlineStr">
        <is>
          <t>VÄRNAMO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46256</v>
      </c>
      <c r="F173" t="inlineStr">
        <is>
          <t>JÖNKÖPINGS LÄN</t>
        </is>
      </c>
      <c r="G173" t="inlineStr">
        <is>
          <t>VÄRNAMO</t>
        </is>
      </c>
      <c r="H173" t="inlineStr">
        <is>
          <t>Övriga Aktiebolag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46256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45659</v>
      </c>
      <c r="E175" s="1" t="n">
        <v>46256</v>
      </c>
      <c r="F175" t="inlineStr">
        <is>
          <t>JÖNKÖPINGS LÄN</t>
        </is>
      </c>
      <c r="G175" t="inlineStr">
        <is>
          <t>VÄRNAMO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46256</v>
      </c>
      <c r="F176" t="inlineStr">
        <is>
          <t>JÖNKÖPINGS LÄN</t>
        </is>
      </c>
      <c r="G176" t="inlineStr">
        <is>
          <t>VÄRNAMO</t>
        </is>
      </c>
      <c r="H176" t="inlineStr">
        <is>
          <t>Övriga Aktiebolag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46256</v>
      </c>
      <c r="F177" t="inlineStr">
        <is>
          <t>JÖNKÖPINGS LÄN</t>
        </is>
      </c>
      <c r="G177" t="inlineStr">
        <is>
          <t>VÄRNAMO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44869</v>
      </c>
      <c r="E178" s="1" t="n">
        <v>46256</v>
      </c>
      <c r="F178" t="inlineStr">
        <is>
          <t>JÖNKÖPINGS LÄN</t>
        </is>
      </c>
      <c r="G178" t="inlineStr">
        <is>
          <t>VÄRNAMO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45394</v>
      </c>
      <c r="E179" s="1" t="n">
        <v>46256</v>
      </c>
      <c r="F179" t="inlineStr">
        <is>
          <t>JÖNKÖPINGS LÄN</t>
        </is>
      </c>
      <c r="G179" t="inlineStr">
        <is>
          <t>VÄRNAMO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46256</v>
      </c>
      <c r="F180" t="inlineStr">
        <is>
          <t>JÖNKÖPINGS LÄN</t>
        </is>
      </c>
      <c r="G180" t="inlineStr">
        <is>
          <t>VÄRNAMO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46256</v>
      </c>
      <c r="F181" t="inlineStr">
        <is>
          <t>JÖNKÖPINGS LÄN</t>
        </is>
      </c>
      <c r="G181" t="inlineStr">
        <is>
          <t>VÄRNAMO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46256</v>
      </c>
      <c r="F182" t="inlineStr">
        <is>
          <t>JÖNKÖPINGS LÄN</t>
        </is>
      </c>
      <c r="G182" t="inlineStr">
        <is>
          <t>VÄRNAMO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46256</v>
      </c>
      <c r="F183" t="inlineStr">
        <is>
          <t>JÖNKÖPINGS LÄN</t>
        </is>
      </c>
      <c r="G183" t="inlineStr">
        <is>
          <t>VÄRNAMO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46256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45142</v>
      </c>
      <c r="E185" s="1" t="n">
        <v>46256</v>
      </c>
      <c r="F185" t="inlineStr">
        <is>
          <t>JÖNKÖPINGS LÄN</t>
        </is>
      </c>
      <c r="G185" t="inlineStr">
        <is>
          <t>VÄRNAMO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45358</v>
      </c>
      <c r="E186" s="1" t="n">
        <v>46256</v>
      </c>
      <c r="F186" t="inlineStr">
        <is>
          <t>JÖNKÖPINGS LÄN</t>
        </is>
      </c>
      <c r="G186" t="inlineStr">
        <is>
          <t>VÄRNAMO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51430-2021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44461</v>
      </c>
      <c r="E187" s="1" t="n">
        <v>46256</v>
      </c>
      <c r="F187" t="inlineStr">
        <is>
          <t>JÖNKÖPINGS LÄN</t>
        </is>
      </c>
      <c r="G187" t="inlineStr">
        <is>
          <t>VÄRNAMO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46256</v>
      </c>
      <c r="F188" t="inlineStr">
        <is>
          <t>JÖNKÖPINGS LÄN</t>
        </is>
      </c>
      <c r="G188" t="inlineStr">
        <is>
          <t>VÄRNAMO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46256</v>
      </c>
      <c r="F189" t="inlineStr">
        <is>
          <t>JÖNKÖPINGS LÄN</t>
        </is>
      </c>
      <c r="G189" t="inlineStr">
        <is>
          <t>VÄRNAMO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44931</v>
      </c>
      <c r="E190" s="1" t="n">
        <v>46256</v>
      </c>
      <c r="F190" t="inlineStr">
        <is>
          <t>JÖNKÖPINGS LÄN</t>
        </is>
      </c>
      <c r="G190" t="inlineStr">
        <is>
          <t>VÄRNAMO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46256</v>
      </c>
      <c r="F191" t="inlineStr">
        <is>
          <t>JÖNKÖPINGS LÄN</t>
        </is>
      </c>
      <c r="G191" t="inlineStr">
        <is>
          <t>VÄRNAMO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45684</v>
      </c>
      <c r="E192" s="1" t="n">
        <v>46256</v>
      </c>
      <c r="F192" t="inlineStr">
        <is>
          <t>JÖNKÖPINGS LÄN</t>
        </is>
      </c>
      <c r="G192" t="inlineStr">
        <is>
          <t>VÄRNAMO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46256</v>
      </c>
      <c r="F193" t="inlineStr">
        <is>
          <t>JÖNKÖPINGS LÄN</t>
        </is>
      </c>
      <c r="G193" t="inlineStr">
        <is>
          <t>VÄRNAMO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46256</v>
      </c>
      <c r="F194" t="inlineStr">
        <is>
          <t>JÖNKÖPINGS LÄN</t>
        </is>
      </c>
      <c r="G194" t="inlineStr">
        <is>
          <t>VÄRNAMO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46256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44595</v>
      </c>
      <c r="E196" s="1" t="n">
        <v>46256</v>
      </c>
      <c r="F196" t="inlineStr">
        <is>
          <t>JÖNKÖPINGS LÄN</t>
        </is>
      </c>
      <c r="G196" t="inlineStr">
        <is>
          <t>VÄRNAMO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45044</v>
      </c>
      <c r="E197" s="1" t="n">
        <v>46256</v>
      </c>
      <c r="F197" t="inlineStr">
        <is>
          <t>JÖNKÖPINGS LÄN</t>
        </is>
      </c>
      <c r="G197" t="inlineStr">
        <is>
          <t>VÄRNAMO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45239</v>
      </c>
      <c r="E198" s="1" t="n">
        <v>46256</v>
      </c>
      <c r="F198" t="inlineStr">
        <is>
          <t>JÖNKÖPINGS LÄN</t>
        </is>
      </c>
      <c r="G198" t="inlineStr">
        <is>
          <t>VÄRNAMO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46256</v>
      </c>
      <c r="F199" t="inlineStr">
        <is>
          <t>JÖNKÖPINGS LÄN</t>
        </is>
      </c>
      <c r="G199" t="inlineStr">
        <is>
          <t>VÄRNAMO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46256</v>
      </c>
      <c r="F200" t="inlineStr">
        <is>
          <t>JÖNKÖPINGS LÄN</t>
        </is>
      </c>
      <c r="G200" t="inlineStr">
        <is>
          <t>VÄRNAMO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45315</v>
      </c>
      <c r="E201" s="1" t="n">
        <v>46256</v>
      </c>
      <c r="F201" t="inlineStr">
        <is>
          <t>JÖNKÖPINGS LÄN</t>
        </is>
      </c>
      <c r="G201" t="inlineStr">
        <is>
          <t>VÄRNAMO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45261</v>
      </c>
      <c r="E202" s="1" t="n">
        <v>46256</v>
      </c>
      <c r="F202" t="inlineStr">
        <is>
          <t>JÖNKÖPINGS LÄN</t>
        </is>
      </c>
      <c r="G202" t="inlineStr">
        <is>
          <t>VÄRNAMO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46256</v>
      </c>
      <c r="F203" t="inlineStr">
        <is>
          <t>JÖNKÖPINGS LÄN</t>
        </is>
      </c>
      <c r="G203" t="inlineStr">
        <is>
          <t>VÄRNAMO</t>
        </is>
      </c>
      <c r="H203" t="inlineStr">
        <is>
          <t>Kommuner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45250</v>
      </c>
      <c r="E204" s="1" t="n">
        <v>46256</v>
      </c>
      <c r="F204" t="inlineStr">
        <is>
          <t>JÖNKÖPINGS LÄN</t>
        </is>
      </c>
      <c r="G204" t="inlineStr">
        <is>
          <t>VÄRNAMO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46676-2021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44445</v>
      </c>
      <c r="E205" s="1" t="n">
        <v>46256</v>
      </c>
      <c r="F205" t="inlineStr">
        <is>
          <t>JÖNKÖPINGS LÄN</t>
        </is>
      </c>
      <c r="G205" t="inlineStr">
        <is>
          <t>VÄRNAMO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46256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44882</v>
      </c>
      <c r="E207" s="1" t="n">
        <v>46256</v>
      </c>
      <c r="F207" t="inlineStr">
        <is>
          <t>JÖNKÖPINGS LÄN</t>
        </is>
      </c>
      <c r="G207" t="inlineStr">
        <is>
          <t>VÄRNAMO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46256</v>
      </c>
      <c r="F208" t="inlineStr">
        <is>
          <t>JÖNKÖPINGS LÄN</t>
        </is>
      </c>
      <c r="G208" t="inlineStr">
        <is>
          <t>VÄRNAMO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46256</v>
      </c>
      <c r="F209" t="inlineStr">
        <is>
          <t>JÖNKÖPINGS LÄN</t>
        </is>
      </c>
      <c r="G209" t="inlineStr">
        <is>
          <t>VÄRNAMO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46256</v>
      </c>
      <c r="F210" t="inlineStr">
        <is>
          <t>JÖNKÖPINGS LÄN</t>
        </is>
      </c>
      <c r="G210" t="inlineStr">
        <is>
          <t>VÄRNAMO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46256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45769</v>
      </c>
      <c r="E212" s="1" t="n">
        <v>46256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44943</v>
      </c>
      <c r="E213" s="1" t="n">
        <v>46256</v>
      </c>
      <c r="F213" t="inlineStr">
        <is>
          <t>JÖNKÖPINGS LÄN</t>
        </is>
      </c>
      <c r="G213" t="inlineStr">
        <is>
          <t>VÄRNAMO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46256</v>
      </c>
      <c r="F214" t="inlineStr">
        <is>
          <t>JÖNKÖPINGS LÄN</t>
        </is>
      </c>
      <c r="G214" t="inlineStr">
        <is>
          <t>VÄRNAMO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45105</v>
      </c>
      <c r="E215" s="1" t="n">
        <v>46256</v>
      </c>
      <c r="F215" t="inlineStr">
        <is>
          <t>JÖNKÖPINGS LÄN</t>
        </is>
      </c>
      <c r="G215" t="inlineStr">
        <is>
          <t>VÄRNAMO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46256</v>
      </c>
      <c r="F216" t="inlineStr">
        <is>
          <t>JÖNKÖPINGS LÄN</t>
        </is>
      </c>
      <c r="G216" t="inlineStr">
        <is>
          <t>VÄRNAMO</t>
        </is>
      </c>
      <c r="H216" t="inlineStr">
        <is>
          <t>Kyrkan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45043</v>
      </c>
      <c r="E217" s="1" t="n">
        <v>46256</v>
      </c>
      <c r="F217" t="inlineStr">
        <is>
          <t>JÖNKÖPINGS LÄN</t>
        </is>
      </c>
      <c r="G217" t="inlineStr">
        <is>
          <t>VÄRNAMO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46256</v>
      </c>
      <c r="F218" t="inlineStr">
        <is>
          <t>JÖNKÖPINGS LÄN</t>
        </is>
      </c>
      <c r="G218" t="inlineStr">
        <is>
          <t>VÄRNAMO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46256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45221</v>
      </c>
      <c r="E220" s="1" t="n">
        <v>46256</v>
      </c>
      <c r="F220" t="inlineStr">
        <is>
          <t>JÖNKÖPINGS LÄN</t>
        </is>
      </c>
      <c r="G220" t="inlineStr">
        <is>
          <t>VÄRNAMO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44909</v>
      </c>
      <c r="E221" s="1" t="n">
        <v>46256</v>
      </c>
      <c r="F221" t="inlineStr">
        <is>
          <t>JÖNKÖPINGS LÄN</t>
        </is>
      </c>
      <c r="G221" t="inlineStr">
        <is>
          <t>VÄRNAMO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46256</v>
      </c>
      <c r="F222" t="inlineStr">
        <is>
          <t>JÖNKÖPINGS LÄN</t>
        </is>
      </c>
      <c r="G222" t="inlineStr">
        <is>
          <t>VÄRNAMO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46256</v>
      </c>
      <c r="F223" t="inlineStr">
        <is>
          <t>JÖNKÖPINGS LÄN</t>
        </is>
      </c>
      <c r="G223" t="inlineStr">
        <is>
          <t>VÄRNAMO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46256</v>
      </c>
      <c r="F224" t="inlineStr">
        <is>
          <t>JÖNKÖPINGS LÄN</t>
        </is>
      </c>
      <c r="G224" t="inlineStr">
        <is>
          <t>VÄRNAMO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46256</v>
      </c>
      <c r="F225" t="inlineStr">
        <is>
          <t>JÖNKÖPINGS LÄN</t>
        </is>
      </c>
      <c r="G225" t="inlineStr">
        <is>
          <t>VÄRNAMO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46256</v>
      </c>
      <c r="F226" t="inlineStr">
        <is>
          <t>JÖNKÖPINGS LÄN</t>
        </is>
      </c>
      <c r="G226" t="inlineStr">
        <is>
          <t>VÄRNAMO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46256</v>
      </c>
      <c r="F227" t="inlineStr">
        <is>
          <t>JÖNKÖPINGS LÄN</t>
        </is>
      </c>
      <c r="G227" t="inlineStr">
        <is>
          <t>VÄRNAMO</t>
        </is>
      </c>
      <c r="H227" t="inlineStr">
        <is>
          <t>Sveaskog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44970</v>
      </c>
      <c r="E228" s="1" t="n">
        <v>46256</v>
      </c>
      <c r="F228" t="inlineStr">
        <is>
          <t>JÖNKÖPINGS LÄN</t>
        </is>
      </c>
      <c r="G228" t="inlineStr">
        <is>
          <t>VÄRNAMO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46256</v>
      </c>
      <c r="F229" t="inlineStr">
        <is>
          <t>JÖNKÖPINGS LÄN</t>
        </is>
      </c>
      <c r="G229" t="inlineStr">
        <is>
          <t>VÄRNAMO</t>
        </is>
      </c>
      <c r="H229" t="inlineStr">
        <is>
          <t>Kommuner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29382-2024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45483</v>
      </c>
      <c r="E230" s="1" t="n">
        <v>46256</v>
      </c>
      <c r="F230" t="inlineStr">
        <is>
          <t>JÖNKÖPINGS LÄN</t>
        </is>
      </c>
      <c r="G230" t="inlineStr">
        <is>
          <t>VÄRNAMO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46256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46256</v>
      </c>
      <c r="F232" t="inlineStr">
        <is>
          <t>JÖNKÖPINGS LÄN</t>
        </is>
      </c>
      <c r="G232" t="inlineStr">
        <is>
          <t>VÄRNAMO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45369</v>
      </c>
      <c r="E233" s="1" t="n">
        <v>46256</v>
      </c>
      <c r="F233" t="inlineStr">
        <is>
          <t>JÖNKÖPINGS LÄN</t>
        </is>
      </c>
      <c r="G233" t="inlineStr">
        <is>
          <t>VÄRNAMO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46256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12306-2023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44998</v>
      </c>
      <c r="E235" s="1" t="n">
        <v>46256</v>
      </c>
      <c r="F235" t="inlineStr">
        <is>
          <t>JÖNKÖPINGS LÄN</t>
        </is>
      </c>
      <c r="G235" t="inlineStr">
        <is>
          <t>VÄRNAMO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44851</v>
      </c>
      <c r="E236" s="1" t="n">
        <v>46256</v>
      </c>
      <c r="F236" t="inlineStr">
        <is>
          <t>JÖNKÖPINGS LÄN</t>
        </is>
      </c>
      <c r="G236" t="inlineStr">
        <is>
          <t>VÄRNAMO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46256</v>
      </c>
      <c r="F237" t="inlineStr">
        <is>
          <t>JÖNKÖPINGS LÄN</t>
        </is>
      </c>
      <c r="G237" t="inlineStr">
        <is>
          <t>VÄRNAMO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46256</v>
      </c>
      <c r="F238" t="inlineStr">
        <is>
          <t>JÖNKÖPINGS LÄN</t>
        </is>
      </c>
      <c r="G238" t="inlineStr">
        <is>
          <t>VÄRNAMO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53473-2025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45959</v>
      </c>
      <c r="E239" s="1" t="n">
        <v>46256</v>
      </c>
      <c r="F239" t="inlineStr">
        <is>
          <t>JÖNKÖPINGS LÄN</t>
        </is>
      </c>
      <c r="G239" t="inlineStr">
        <is>
          <t>VÄRNAMO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46256</v>
      </c>
      <c r="F240" t="inlineStr">
        <is>
          <t>JÖNKÖPINGS LÄN</t>
        </is>
      </c>
      <c r="G240" t="inlineStr">
        <is>
          <t>VÄRNAMO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46256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46256</v>
      </c>
      <c r="F242" t="inlineStr">
        <is>
          <t>JÖNKÖPINGS LÄN</t>
        </is>
      </c>
      <c r="G242" t="inlineStr">
        <is>
          <t>VÄRNAMO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44608</v>
      </c>
      <c r="E243" s="1" t="n">
        <v>46256</v>
      </c>
      <c r="F243" t="inlineStr">
        <is>
          <t>JÖNKÖPINGS LÄN</t>
        </is>
      </c>
      <c r="G243" t="inlineStr">
        <is>
          <t>VÄRNAMO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46256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45200</v>
      </c>
      <c r="E245" s="1" t="n">
        <v>46256</v>
      </c>
      <c r="F245" t="inlineStr">
        <is>
          <t>JÖNKÖPINGS LÄN</t>
        </is>
      </c>
      <c r="G245" t="inlineStr">
        <is>
          <t>VÄRNAMO</t>
        </is>
      </c>
      <c r="H245" t="inlineStr">
        <is>
          <t>Övriga Aktiebolag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45308</v>
      </c>
      <c r="E246" s="1" t="n">
        <v>46256</v>
      </c>
      <c r="F246" t="inlineStr">
        <is>
          <t>JÖNKÖPINGS LÄN</t>
        </is>
      </c>
      <c r="G246" t="inlineStr">
        <is>
          <t>VÄRNAMO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45187</v>
      </c>
      <c r="E247" s="1" t="n">
        <v>46256</v>
      </c>
      <c r="F247" t="inlineStr">
        <is>
          <t>JÖNKÖPINGS LÄN</t>
        </is>
      </c>
      <c r="G247" t="inlineStr">
        <is>
          <t>VÄRNAMO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45845</v>
      </c>
      <c r="E248" s="1" t="n">
        <v>46256</v>
      </c>
      <c r="F248" t="inlineStr">
        <is>
          <t>JÖNKÖPINGS LÄN</t>
        </is>
      </c>
      <c r="G248" t="inlineStr">
        <is>
          <t>VÄRNAMO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46256</v>
      </c>
      <c r="F249" t="inlineStr">
        <is>
          <t>JÖNKÖPINGS LÄN</t>
        </is>
      </c>
      <c r="G249" t="inlineStr">
        <is>
          <t>VÄRNAMO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46256</v>
      </c>
      <c r="F250" t="inlineStr">
        <is>
          <t>JÖNKÖPINGS LÄN</t>
        </is>
      </c>
      <c r="G250" t="inlineStr">
        <is>
          <t>VÄRNAMO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46256</v>
      </c>
      <c r="F251" t="inlineStr">
        <is>
          <t>JÖNKÖPINGS LÄN</t>
        </is>
      </c>
      <c r="G251" t="inlineStr">
        <is>
          <t>VÄRNAMO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46256</v>
      </c>
      <c r="F252" t="inlineStr">
        <is>
          <t>JÖNKÖPINGS LÄN</t>
        </is>
      </c>
      <c r="G252" t="inlineStr">
        <is>
          <t>VÄRNAMO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46256</v>
      </c>
      <c r="F253" t="inlineStr">
        <is>
          <t>JÖNKÖPINGS LÄN</t>
        </is>
      </c>
      <c r="G253" t="inlineStr">
        <is>
          <t>VÄRNAMO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8968-2024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45357</v>
      </c>
      <c r="E254" s="1" t="n">
        <v>46256</v>
      </c>
      <c r="F254" t="inlineStr">
        <is>
          <t>JÖNKÖPINGS LÄN</t>
        </is>
      </c>
      <c r="G254" t="inlineStr">
        <is>
          <t>VÄRNAMO</t>
        </is>
      </c>
      <c r="H254" t="inlineStr">
        <is>
          <t>Sveaskog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48697-2022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44859</v>
      </c>
      <c r="E255" s="1" t="n">
        <v>46256</v>
      </c>
      <c r="F255" t="inlineStr">
        <is>
          <t>JÖNKÖPINGS LÄN</t>
        </is>
      </c>
      <c r="G255" t="inlineStr">
        <is>
          <t>VÄRNAMO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44642</v>
      </c>
      <c r="E256" s="1" t="n">
        <v>46256</v>
      </c>
      <c r="F256" t="inlineStr">
        <is>
          <t>JÖNKÖPINGS LÄN</t>
        </is>
      </c>
      <c r="G256" t="inlineStr">
        <is>
          <t>VÄRNAMO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46256</v>
      </c>
      <c r="F257" t="inlineStr">
        <is>
          <t>JÖNKÖPINGS LÄN</t>
        </is>
      </c>
      <c r="G257" t="inlineStr">
        <is>
          <t>VÄRNAMO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44981</v>
      </c>
      <c r="E258" s="1" t="n">
        <v>46256</v>
      </c>
      <c r="F258" t="inlineStr">
        <is>
          <t>JÖNKÖPINGS LÄN</t>
        </is>
      </c>
      <c r="G258" t="inlineStr">
        <is>
          <t>VÄRNAMO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46256</v>
      </c>
      <c r="F259" t="inlineStr">
        <is>
          <t>JÖNKÖPINGS LÄN</t>
        </is>
      </c>
      <c r="G259" t="inlineStr">
        <is>
          <t>VÄRNAMO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46256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46256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54703-2025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46256</v>
      </c>
      <c r="F262" t="inlineStr">
        <is>
          <t>JÖNKÖPINGS LÄN</t>
        </is>
      </c>
      <c r="G262" t="inlineStr">
        <is>
          <t>VÄRNAMO</t>
        </is>
      </c>
      <c r="I262" t="n">
        <v>10.8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46256</v>
      </c>
      <c r="F263" t="inlineStr">
        <is>
          <t>JÖNKÖPINGS LÄN</t>
        </is>
      </c>
      <c r="G263" t="inlineStr">
        <is>
          <t>VÄRNAMO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46256</v>
      </c>
      <c r="F264" t="inlineStr">
        <is>
          <t>JÖNKÖPINGS LÄN</t>
        </is>
      </c>
      <c r="G264" t="inlineStr">
        <is>
          <t>VÄRNAMO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46256</v>
      </c>
      <c r="F265" t="inlineStr">
        <is>
          <t>JÖNKÖPINGS LÄN</t>
        </is>
      </c>
      <c r="G265" t="inlineStr">
        <is>
          <t>VÄRNAMO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45496</v>
      </c>
      <c r="E266" s="1" t="n">
        <v>46256</v>
      </c>
      <c r="F266" t="inlineStr">
        <is>
          <t>JÖNKÖPINGS LÄN</t>
        </is>
      </c>
      <c r="G266" t="inlineStr">
        <is>
          <t>VÄRNAMO</t>
        </is>
      </c>
      <c r="H266" t="inlineStr">
        <is>
          <t>Kommuner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46256</v>
      </c>
      <c r="F267" t="inlineStr">
        <is>
          <t>JÖNKÖPINGS LÄN</t>
        </is>
      </c>
      <c r="G267" t="inlineStr">
        <is>
          <t>VÄRNAMO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46256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46256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46256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46256</v>
      </c>
      <c r="F271" t="inlineStr">
        <is>
          <t>JÖNKÖPINGS LÄN</t>
        </is>
      </c>
      <c r="G271" t="inlineStr">
        <is>
          <t>VÄRNAMO</t>
        </is>
      </c>
      <c r="H271" t="inlineStr">
        <is>
          <t>Kommuner</t>
        </is>
      </c>
      <c r="I271" t="n">
        <v>12.9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46256</v>
      </c>
      <c r="F272" t="inlineStr">
        <is>
          <t>JÖNKÖPINGS LÄN</t>
        </is>
      </c>
      <c r="G272" t="inlineStr">
        <is>
          <t>VÄRNAMO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17323-2022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44678</v>
      </c>
      <c r="E273" s="1" t="n">
        <v>46256</v>
      </c>
      <c r="F273" t="inlineStr">
        <is>
          <t>JÖNKÖPINGS LÄN</t>
        </is>
      </c>
      <c r="G273" t="inlineStr">
        <is>
          <t>VÄRNAMO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46256</v>
      </c>
      <c r="F274" t="inlineStr">
        <is>
          <t>JÖNKÖPINGS LÄN</t>
        </is>
      </c>
      <c r="G274" t="inlineStr">
        <is>
          <t>VÄRNAMO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44985</v>
      </c>
      <c r="E275" s="1" t="n">
        <v>46256</v>
      </c>
      <c r="F275" t="inlineStr">
        <is>
          <t>JÖNKÖPINGS LÄN</t>
        </is>
      </c>
      <c r="G275" t="inlineStr">
        <is>
          <t>VÄRNAMO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45021</v>
      </c>
      <c r="E276" s="1" t="n">
        <v>46256</v>
      </c>
      <c r="F276" t="inlineStr">
        <is>
          <t>JÖNKÖPINGS LÄN</t>
        </is>
      </c>
      <c r="G276" t="inlineStr">
        <is>
          <t>VÄRNAMO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46256</v>
      </c>
      <c r="F277" t="inlineStr">
        <is>
          <t>JÖNKÖPINGS LÄN</t>
        </is>
      </c>
      <c r="G277" t="inlineStr">
        <is>
          <t>VÄRNAMO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45401</v>
      </c>
      <c r="E278" s="1" t="n">
        <v>46256</v>
      </c>
      <c r="F278" t="inlineStr">
        <is>
          <t>JÖNKÖPINGS LÄN</t>
        </is>
      </c>
      <c r="G278" t="inlineStr">
        <is>
          <t>VÄRNAMO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46256</v>
      </c>
      <c r="F279" t="inlineStr">
        <is>
          <t>JÖNKÖPINGS LÄN</t>
        </is>
      </c>
      <c r="G279" t="inlineStr">
        <is>
          <t>VÄRNAMO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45531</v>
      </c>
      <c r="E280" s="1" t="n">
        <v>46256</v>
      </c>
      <c r="F280" t="inlineStr">
        <is>
          <t>JÖNKÖPINGS LÄN</t>
        </is>
      </c>
      <c r="G280" t="inlineStr">
        <is>
          <t>VÄRNAMO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45604</v>
      </c>
      <c r="E281" s="1" t="n">
        <v>46256</v>
      </c>
      <c r="F281" t="inlineStr">
        <is>
          <t>JÖNKÖPINGS LÄN</t>
        </is>
      </c>
      <c r="G281" t="inlineStr">
        <is>
          <t>VÄRNAMO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74102-2021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44557</v>
      </c>
      <c r="E282" s="1" t="n">
        <v>46256</v>
      </c>
      <c r="F282" t="inlineStr">
        <is>
          <t>JÖNKÖPINGS LÄN</t>
        </is>
      </c>
      <c r="G282" t="inlineStr">
        <is>
          <t>VÄRNAMO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46256</v>
      </c>
      <c r="F283" t="inlineStr">
        <is>
          <t>JÖNKÖPINGS LÄN</t>
        </is>
      </c>
      <c r="G283" t="inlineStr">
        <is>
          <t>VÄRNAMO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63915-2023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45278</v>
      </c>
      <c r="E284" s="1" t="n">
        <v>46256</v>
      </c>
      <c r="F284" t="inlineStr">
        <is>
          <t>JÖNKÖPINGS LÄN</t>
        </is>
      </c>
      <c r="G284" t="inlineStr">
        <is>
          <t>VÄRNAMO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54254-2021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44470</v>
      </c>
      <c r="E285" s="1" t="n">
        <v>46256</v>
      </c>
      <c r="F285" t="inlineStr">
        <is>
          <t>JÖNKÖPINGS LÄN</t>
        </is>
      </c>
      <c r="G285" t="inlineStr">
        <is>
          <t>VÄRNAMO</t>
        </is>
      </c>
      <c r="H285" t="inlineStr">
        <is>
          <t>Övriga Aktiebolag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45029</v>
      </c>
      <c r="E286" s="1" t="n">
        <v>46256</v>
      </c>
      <c r="F286" t="inlineStr">
        <is>
          <t>JÖNKÖPINGS LÄN</t>
        </is>
      </c>
      <c r="G286" t="inlineStr">
        <is>
          <t>VÄRNAMO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46256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71233-2021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44539</v>
      </c>
      <c r="E288" s="1" t="n">
        <v>46256</v>
      </c>
      <c r="F288" t="inlineStr">
        <is>
          <t>JÖNKÖPINGS LÄN</t>
        </is>
      </c>
      <c r="G288" t="inlineStr">
        <is>
          <t>VÄRNAMO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57719-2025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46256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45851</v>
      </c>
      <c r="E290" s="1" t="n">
        <v>46256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46256</v>
      </c>
      <c r="F291" t="inlineStr">
        <is>
          <t>JÖNKÖPINGS LÄN</t>
        </is>
      </c>
      <c r="G291" t="inlineStr">
        <is>
          <t>VÄRNAMO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45687</v>
      </c>
      <c r="E292" s="1" t="n">
        <v>46256</v>
      </c>
      <c r="F292" t="inlineStr">
        <is>
          <t>JÖNKÖPINGS LÄN</t>
        </is>
      </c>
      <c r="G292" t="inlineStr">
        <is>
          <t>VÄRNAMO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46256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46256</v>
      </c>
      <c r="F294" t="inlineStr">
        <is>
          <t>JÖNKÖPINGS LÄN</t>
        </is>
      </c>
      <c r="G294" t="inlineStr">
        <is>
          <t>VÄRNAMO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46256</v>
      </c>
      <c r="F295" t="inlineStr">
        <is>
          <t>JÖNKÖPINGS LÄN</t>
        </is>
      </c>
      <c r="G295" t="inlineStr">
        <is>
          <t>VÄRNAMO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46256</v>
      </c>
      <c r="F296" t="inlineStr">
        <is>
          <t>JÖNKÖPINGS LÄN</t>
        </is>
      </c>
      <c r="G296" t="inlineStr">
        <is>
          <t>VÄRNAMO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46256</v>
      </c>
      <c r="F297" t="inlineStr">
        <is>
          <t>JÖNKÖPINGS LÄN</t>
        </is>
      </c>
      <c r="G297" t="inlineStr">
        <is>
          <t>VÄRNAMO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46256</v>
      </c>
      <c r="F298" t="inlineStr">
        <is>
          <t>JÖNKÖPINGS LÄN</t>
        </is>
      </c>
      <c r="G298" t="inlineStr">
        <is>
          <t>VÄRNAMO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46256</v>
      </c>
      <c r="F299" t="inlineStr">
        <is>
          <t>JÖNKÖPINGS LÄN</t>
        </is>
      </c>
      <c r="G299" t="inlineStr">
        <is>
          <t>VÄRNAMO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46256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46256</v>
      </c>
      <c r="F301" t="inlineStr">
        <is>
          <t>JÖNKÖPINGS LÄN</t>
        </is>
      </c>
      <c r="G301" t="inlineStr">
        <is>
          <t>VÄRNAMO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45221</v>
      </c>
      <c r="E302" s="1" t="n">
        <v>46256</v>
      </c>
      <c r="F302" t="inlineStr">
        <is>
          <t>JÖNKÖPINGS LÄN</t>
        </is>
      </c>
      <c r="G302" t="inlineStr">
        <is>
          <t>VÄRNAMO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45851</v>
      </c>
      <c r="E303" s="1" t="n">
        <v>46256</v>
      </c>
      <c r="F303" t="inlineStr">
        <is>
          <t>JÖNKÖPINGS LÄN</t>
        </is>
      </c>
      <c r="G303" t="inlineStr">
        <is>
          <t>VÄRNAMO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46256</v>
      </c>
      <c r="F304" t="inlineStr">
        <is>
          <t>JÖNKÖPINGS LÄN</t>
        </is>
      </c>
      <c r="G304" t="inlineStr">
        <is>
          <t>VÄRNAMO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45558</v>
      </c>
      <c r="E305" s="1" t="n">
        <v>46256</v>
      </c>
      <c r="F305" t="inlineStr">
        <is>
          <t>JÖNKÖPINGS LÄN</t>
        </is>
      </c>
      <c r="G305" t="inlineStr">
        <is>
          <t>VÄRNAMO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46256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46256</v>
      </c>
      <c r="F307" t="inlineStr">
        <is>
          <t>JÖNKÖPINGS LÄN</t>
        </is>
      </c>
      <c r="G307" t="inlineStr">
        <is>
          <t>VÄRNAMO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45200</v>
      </c>
      <c r="E308" s="1" t="n">
        <v>46256</v>
      </c>
      <c r="F308" t="inlineStr">
        <is>
          <t>JÖNKÖPINGS LÄN</t>
        </is>
      </c>
      <c r="G308" t="inlineStr">
        <is>
          <t>VÄRNAMO</t>
        </is>
      </c>
      <c r="H308" t="inlineStr">
        <is>
          <t>Övriga Aktiebolag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46256</v>
      </c>
      <c r="F309" t="inlineStr">
        <is>
          <t>JÖNKÖPINGS LÄN</t>
        </is>
      </c>
      <c r="G309" t="inlineStr">
        <is>
          <t>VÄRNAMO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46256</v>
      </c>
      <c r="F310" t="inlineStr">
        <is>
          <t>JÖNKÖPINGS LÄN</t>
        </is>
      </c>
      <c r="G310" t="inlineStr">
        <is>
          <t>VÄRNAMO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44686</v>
      </c>
      <c r="E311" s="1" t="n">
        <v>46256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45818-2022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44846</v>
      </c>
      <c r="E312" s="1" t="n">
        <v>46256</v>
      </c>
      <c r="F312" t="inlineStr">
        <is>
          <t>JÖNKÖPINGS LÄN</t>
        </is>
      </c>
      <c r="G312" t="inlineStr">
        <is>
          <t>VÄRNAMO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35268-2025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45853</v>
      </c>
      <c r="E313" s="1" t="n">
        <v>46256</v>
      </c>
      <c r="F313" t="inlineStr">
        <is>
          <t>JÖNKÖPINGS LÄN</t>
        </is>
      </c>
      <c r="G313" t="inlineStr">
        <is>
          <t>VÄRNAMO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46256</v>
      </c>
      <c r="F314" t="inlineStr">
        <is>
          <t>JÖNKÖPINGS LÄN</t>
        </is>
      </c>
      <c r="G314" t="inlineStr">
        <is>
          <t>VÄRNAMO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17328-2024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45414</v>
      </c>
      <c r="E315" s="1" t="n">
        <v>46256</v>
      </c>
      <c r="F315" t="inlineStr">
        <is>
          <t>JÖNKÖPINGS LÄN</t>
        </is>
      </c>
      <c r="G315" t="inlineStr">
        <is>
          <t>VÄRNAMO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45993</v>
      </c>
      <c r="E316" s="1" t="n">
        <v>46256</v>
      </c>
      <c r="F316" t="inlineStr">
        <is>
          <t>JÖNKÖPINGS LÄN</t>
        </is>
      </c>
      <c r="G316" t="inlineStr">
        <is>
          <t>VÄRNAMO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45993</v>
      </c>
      <c r="E317" s="1" t="n">
        <v>46256</v>
      </c>
      <c r="F317" t="inlineStr">
        <is>
          <t>JÖNKÖPINGS LÄN</t>
        </is>
      </c>
      <c r="G317" t="inlineStr">
        <is>
          <t>VÄRNAMO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63430-2023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45274</v>
      </c>
      <c r="E318" s="1" t="n">
        <v>46256</v>
      </c>
      <c r="F318" t="inlineStr">
        <is>
          <t>JÖNKÖPINGS LÄN</t>
        </is>
      </c>
      <c r="G318" t="inlineStr">
        <is>
          <t>VÄRNAMO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45446</v>
      </c>
      <c r="E319" s="1" t="n">
        <v>46256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46256</v>
      </c>
      <c r="F320" t="inlineStr">
        <is>
          <t>JÖNKÖPINGS LÄN</t>
        </is>
      </c>
      <c r="G320" t="inlineStr">
        <is>
          <t>VÄRNAMO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44425-2023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46256</v>
      </c>
      <c r="F321" t="inlineStr">
        <is>
          <t>JÖNKÖPINGS LÄN</t>
        </is>
      </c>
      <c r="G321" t="inlineStr">
        <is>
          <t>VÄRNAMO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46256</v>
      </c>
      <c r="F322" t="inlineStr">
        <is>
          <t>JÖNKÖPINGS LÄN</t>
        </is>
      </c>
      <c r="G322" t="inlineStr">
        <is>
          <t>VÄRNAMO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60481-2025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45995</v>
      </c>
      <c r="E323" s="1" t="n">
        <v>46256</v>
      </c>
      <c r="F323" t="inlineStr">
        <is>
          <t>JÖNKÖPINGS LÄN</t>
        </is>
      </c>
      <c r="G323" t="inlineStr">
        <is>
          <t>VÄRNAMO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6879-2022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44602</v>
      </c>
      <c r="E324" s="1" t="n">
        <v>46256</v>
      </c>
      <c r="F324" t="inlineStr">
        <is>
          <t>JÖNKÖPINGS LÄN</t>
        </is>
      </c>
      <c r="G324" t="inlineStr">
        <is>
          <t>VÄRNAMO</t>
        </is>
      </c>
      <c r="H324" t="inlineStr">
        <is>
          <t>Kommuner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46256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44642</v>
      </c>
      <c r="E326" s="1" t="n">
        <v>46256</v>
      </c>
      <c r="F326" t="inlineStr">
        <is>
          <t>JÖNKÖPINGS LÄN</t>
        </is>
      </c>
      <c r="G326" t="inlineStr">
        <is>
          <t>VÄRNAMO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12857-2022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44642</v>
      </c>
      <c r="E327" s="1" t="n">
        <v>46256</v>
      </c>
      <c r="F327" t="inlineStr">
        <is>
          <t>JÖNKÖPINGS LÄN</t>
        </is>
      </c>
      <c r="G327" t="inlineStr">
        <is>
          <t>VÄRNAMO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45637</v>
      </c>
      <c r="E328" s="1" t="n">
        <v>46256</v>
      </c>
      <c r="F328" t="inlineStr">
        <is>
          <t>JÖNKÖPINGS LÄN</t>
        </is>
      </c>
      <c r="G328" t="inlineStr">
        <is>
          <t>VÄRNAMO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46256</v>
      </c>
      <c r="F329" t="inlineStr">
        <is>
          <t>JÖNKÖPINGS LÄN</t>
        </is>
      </c>
      <c r="G329" t="inlineStr">
        <is>
          <t>VÄRNAMO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1246-2024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45302</v>
      </c>
      <c r="E330" s="1" t="n">
        <v>46256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46256</v>
      </c>
      <c r="F331" t="inlineStr">
        <is>
          <t>JÖNKÖPINGS LÄN</t>
        </is>
      </c>
      <c r="G331" t="inlineStr">
        <is>
          <t>VÄRNAMO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45701</v>
      </c>
      <c r="E332" s="1" t="n">
        <v>46256</v>
      </c>
      <c r="F332" t="inlineStr">
        <is>
          <t>JÖNKÖPINGS LÄN</t>
        </is>
      </c>
      <c r="G332" t="inlineStr">
        <is>
          <t>VÄRNAMO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46256</v>
      </c>
      <c r="F333" t="inlineStr">
        <is>
          <t>JÖNKÖPINGS LÄN</t>
        </is>
      </c>
      <c r="G333" t="inlineStr">
        <is>
          <t>VÄRNAMO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46256</v>
      </c>
      <c r="F334" t="inlineStr">
        <is>
          <t>JÖNKÖPINGS LÄN</t>
        </is>
      </c>
      <c r="G334" t="inlineStr">
        <is>
          <t>VÄRNAMO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46256</v>
      </c>
      <c r="F335" t="inlineStr">
        <is>
          <t>JÖNKÖPINGS LÄN</t>
        </is>
      </c>
      <c r="G335" t="inlineStr">
        <is>
          <t>VÄRNAMO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46256</v>
      </c>
      <c r="F336" t="inlineStr">
        <is>
          <t>JÖNKÖPINGS LÄN</t>
        </is>
      </c>
      <c r="G336" t="inlineStr">
        <is>
          <t>VÄRNAMO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45505</v>
      </c>
      <c r="E337" s="1" t="n">
        <v>46256</v>
      </c>
      <c r="F337" t="inlineStr">
        <is>
          <t>JÖNKÖPINGS LÄN</t>
        </is>
      </c>
      <c r="G337" t="inlineStr">
        <is>
          <t>VÄRNAMO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44577</v>
      </c>
      <c r="E338" s="1" t="n">
        <v>46256</v>
      </c>
      <c r="F338" t="inlineStr">
        <is>
          <t>JÖNKÖPINGS LÄN</t>
        </is>
      </c>
      <c r="G338" t="inlineStr">
        <is>
          <t>VÄRNAMO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46256</v>
      </c>
      <c r="F339" t="inlineStr">
        <is>
          <t>JÖNKÖPINGS LÄN</t>
        </is>
      </c>
      <c r="G339" t="inlineStr">
        <is>
          <t>VÄRNAMO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46256</v>
      </c>
      <c r="F340" t="inlineStr">
        <is>
          <t>JÖNKÖPINGS LÄN</t>
        </is>
      </c>
      <c r="G340" t="inlineStr">
        <is>
          <t>VÄRNAMO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46256</v>
      </c>
      <c r="F341" t="inlineStr">
        <is>
          <t>JÖNKÖPINGS LÄN</t>
        </is>
      </c>
      <c r="G341" t="inlineStr">
        <is>
          <t>VÄRNAMO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46256</v>
      </c>
      <c r="F342" t="inlineStr">
        <is>
          <t>JÖNKÖPINGS LÄN</t>
        </is>
      </c>
      <c r="G342" t="inlineStr">
        <is>
          <t>VÄRNAMO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47603-2024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45587</v>
      </c>
      <c r="E343" s="1" t="n">
        <v>46256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46256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46256</v>
      </c>
      <c r="F345" t="inlineStr">
        <is>
          <t>JÖNKÖPINGS LÄN</t>
        </is>
      </c>
      <c r="G345" t="inlineStr">
        <is>
          <t>VÄRNAMO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46256</v>
      </c>
      <c r="F346" t="inlineStr">
        <is>
          <t>JÖNKÖPINGS LÄN</t>
        </is>
      </c>
      <c r="G346" t="inlineStr">
        <is>
          <t>VÄRNAMO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45264</v>
      </c>
      <c r="E347" s="1" t="n">
        <v>46256</v>
      </c>
      <c r="F347" t="inlineStr">
        <is>
          <t>JÖNKÖPINGS LÄN</t>
        </is>
      </c>
      <c r="G347" t="inlineStr">
        <is>
          <t>VÄRNAMO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45007</v>
      </c>
      <c r="E348" s="1" t="n">
        <v>46256</v>
      </c>
      <c r="F348" t="inlineStr">
        <is>
          <t>JÖNKÖPINGS LÄN</t>
        </is>
      </c>
      <c r="G348" t="inlineStr">
        <is>
          <t>VÄRNAMO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46256</v>
      </c>
      <c r="F349" t="inlineStr">
        <is>
          <t>JÖNKÖPINGS LÄN</t>
        </is>
      </c>
      <c r="G349" t="inlineStr">
        <is>
          <t>VÄRNAMO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39639-2023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46256</v>
      </c>
      <c r="F350" t="inlineStr">
        <is>
          <t>JÖNKÖPINGS LÄN</t>
        </is>
      </c>
      <c r="G350" t="inlineStr">
        <is>
          <t>VÄRNAMO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46256</v>
      </c>
      <c r="F351" t="inlineStr">
        <is>
          <t>JÖNKÖPINGS LÄN</t>
        </is>
      </c>
      <c r="G351" t="inlineStr">
        <is>
          <t>VÄRNAMO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62655-2025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46008</v>
      </c>
      <c r="E352" s="1" t="n">
        <v>46256</v>
      </c>
      <c r="F352" t="inlineStr">
        <is>
          <t>JÖNKÖPINGS LÄN</t>
        </is>
      </c>
      <c r="G352" t="inlineStr">
        <is>
          <t>VÄRNAMO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24703-2022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44727</v>
      </c>
      <c r="E353" s="1" t="n">
        <v>46256</v>
      </c>
      <c r="F353" t="inlineStr">
        <is>
          <t>JÖNKÖPINGS LÄN</t>
        </is>
      </c>
      <c r="G353" t="inlineStr">
        <is>
          <t>VÄRNAMO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45069</v>
      </c>
      <c r="E354" s="1" t="n">
        <v>46256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21874-2024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45443</v>
      </c>
      <c r="E355" s="1" t="n">
        <v>46256</v>
      </c>
      <c r="F355" t="inlineStr">
        <is>
          <t>JÖNKÖPINGS LÄN</t>
        </is>
      </c>
      <c r="G355" t="inlineStr">
        <is>
          <t>VÄRNAMO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46256</v>
      </c>
      <c r="F356" t="inlineStr">
        <is>
          <t>JÖNKÖPINGS LÄN</t>
        </is>
      </c>
      <c r="G356" t="inlineStr">
        <is>
          <t>VÄRNAMO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48289-2024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46256</v>
      </c>
      <c r="F357" t="inlineStr">
        <is>
          <t>JÖNKÖPINGS LÄN</t>
        </is>
      </c>
      <c r="G357" t="inlineStr">
        <is>
          <t>VÄRNAMO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62276-2023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45267</v>
      </c>
      <c r="E358" s="1" t="n">
        <v>46256</v>
      </c>
      <c r="F358" t="inlineStr">
        <is>
          <t>JÖNKÖPINGS LÄN</t>
        </is>
      </c>
      <c r="G358" t="inlineStr">
        <is>
          <t>VÄRNAMO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45308</v>
      </c>
      <c r="E359" s="1" t="n">
        <v>46256</v>
      </c>
      <c r="F359" t="inlineStr">
        <is>
          <t>JÖNKÖPINGS LÄN</t>
        </is>
      </c>
      <c r="G359" t="inlineStr">
        <is>
          <t>VÄRNAMO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46256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45302</v>
      </c>
      <c r="E361" s="1" t="n">
        <v>46256</v>
      </c>
      <c r="F361" t="inlineStr">
        <is>
          <t>JÖNKÖPINGS LÄN</t>
        </is>
      </c>
      <c r="G361" t="inlineStr">
        <is>
          <t>VÄRNAMO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14353-2022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44652</v>
      </c>
      <c r="E362" s="1" t="n">
        <v>46256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22855-2023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45072</v>
      </c>
      <c r="E363" s="1" t="n">
        <v>46256</v>
      </c>
      <c r="F363" t="inlineStr">
        <is>
          <t>JÖNKÖPINGS LÄN</t>
        </is>
      </c>
      <c r="G363" t="inlineStr">
        <is>
          <t>VÄRNAMO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62794-2023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45271</v>
      </c>
      <c r="E364" s="1" t="n">
        <v>46256</v>
      </c>
      <c r="F364" t="inlineStr">
        <is>
          <t>JÖNKÖPINGS LÄN</t>
        </is>
      </c>
      <c r="G364" t="inlineStr">
        <is>
          <t>VÄRNAMO</t>
        </is>
      </c>
      <c r="H364" t="inlineStr">
        <is>
          <t>Kommuner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45734</v>
      </c>
      <c r="E365" s="1" t="n">
        <v>46256</v>
      </c>
      <c r="F365" t="inlineStr">
        <is>
          <t>JÖNKÖPINGS LÄN</t>
        </is>
      </c>
      <c r="G365" t="inlineStr">
        <is>
          <t>VÄRNAMO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38484-2023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46256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46256</v>
      </c>
      <c r="F367" t="inlineStr">
        <is>
          <t>JÖNKÖPINGS LÄN</t>
        </is>
      </c>
      <c r="G367" t="inlineStr">
        <is>
          <t>VÄRNAMO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498-2026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46029</v>
      </c>
      <c r="E368" s="1" t="n">
        <v>46256</v>
      </c>
      <c r="F368" t="inlineStr">
        <is>
          <t>JÖNKÖPINGS LÄN</t>
        </is>
      </c>
      <c r="G368" t="inlineStr">
        <is>
          <t>VÄRNAMO</t>
        </is>
      </c>
      <c r="H368" t="inlineStr">
        <is>
          <t>Sveaskog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46256</v>
      </c>
      <c r="F369" t="inlineStr">
        <is>
          <t>JÖNKÖPINGS LÄN</t>
        </is>
      </c>
      <c r="G369" t="inlineStr">
        <is>
          <t>VÄRNAMO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46256</v>
      </c>
      <c r="F370" t="inlineStr">
        <is>
          <t>JÖNKÖPINGS LÄN</t>
        </is>
      </c>
      <c r="G370" t="inlineStr">
        <is>
          <t>VÄRNAMO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45667</v>
      </c>
      <c r="E371" s="1" t="n">
        <v>46256</v>
      </c>
      <c r="F371" t="inlineStr">
        <is>
          <t>JÖNKÖPINGS LÄN</t>
        </is>
      </c>
      <c r="G371" t="inlineStr">
        <is>
          <t>VÄRNAMO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45769</v>
      </c>
      <c r="E372" s="1" t="n">
        <v>46256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46256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46256</v>
      </c>
      <c r="F374" t="inlineStr">
        <is>
          <t>JÖNKÖPINGS LÄN</t>
        </is>
      </c>
      <c r="G374" t="inlineStr">
        <is>
          <t>VÄRNAMO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46256</v>
      </c>
      <c r="F375" t="inlineStr">
        <is>
          <t>JÖNKÖPINGS LÄN</t>
        </is>
      </c>
      <c r="G375" t="inlineStr">
        <is>
          <t>VÄRNAMO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44677-2022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44840</v>
      </c>
      <c r="E376" s="1" t="n">
        <v>46256</v>
      </c>
      <c r="F376" t="inlineStr">
        <is>
          <t>JÖNKÖPINGS LÄN</t>
        </is>
      </c>
      <c r="G376" t="inlineStr">
        <is>
          <t>VÄRNAMO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46256</v>
      </c>
      <c r="F377" t="inlineStr">
        <is>
          <t>JÖNKÖPINGS LÄN</t>
        </is>
      </c>
      <c r="G377" t="inlineStr">
        <is>
          <t>VÄRNAMO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46256</v>
      </c>
      <c r="F378" t="inlineStr">
        <is>
          <t>JÖNKÖPINGS LÄN</t>
        </is>
      </c>
      <c r="G378" t="inlineStr">
        <is>
          <t>VÄRNAMO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27888-2024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45475</v>
      </c>
      <c r="E379" s="1" t="n">
        <v>46256</v>
      </c>
      <c r="F379" t="inlineStr">
        <is>
          <t>JÖNKÖPINGS LÄN</t>
        </is>
      </c>
      <c r="G379" t="inlineStr">
        <is>
          <t>VÄRNAMO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27527-2024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45474</v>
      </c>
      <c r="E380" s="1" t="n">
        <v>46256</v>
      </c>
      <c r="F380" t="inlineStr">
        <is>
          <t>JÖNKÖPINGS LÄN</t>
        </is>
      </c>
      <c r="G380" t="inlineStr">
        <is>
          <t>VÄRNAMO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46256</v>
      </c>
      <c r="F381" t="inlineStr">
        <is>
          <t>JÖNKÖPINGS LÄN</t>
        </is>
      </c>
      <c r="G381" t="inlineStr">
        <is>
          <t>VÄRNAMO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45802</v>
      </c>
      <c r="E382" s="1" t="n">
        <v>46256</v>
      </c>
      <c r="F382" t="inlineStr">
        <is>
          <t>JÖNKÖPINGS LÄN</t>
        </is>
      </c>
      <c r="G382" t="inlineStr">
        <is>
          <t>VÄRNAMO</t>
        </is>
      </c>
      <c r="H382" t="inlineStr">
        <is>
          <t>Övriga Aktiebolag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44994</v>
      </c>
      <c r="E383" s="1" t="n">
        <v>46256</v>
      </c>
      <c r="F383" t="inlineStr">
        <is>
          <t>JÖNKÖPINGS LÄN</t>
        </is>
      </c>
      <c r="G383" t="inlineStr">
        <is>
          <t>VÄRNAMO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46256</v>
      </c>
      <c r="F384" t="inlineStr">
        <is>
          <t>JÖNKÖPINGS LÄN</t>
        </is>
      </c>
      <c r="G384" t="inlineStr">
        <is>
          <t>VÄRNAMO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46256</v>
      </c>
      <c r="F385" t="inlineStr">
        <is>
          <t>JÖNKÖPINGS LÄN</t>
        </is>
      </c>
      <c r="G385" t="inlineStr">
        <is>
          <t>VÄRNAMO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46256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46256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45873</v>
      </c>
      <c r="E388" s="1" t="n">
        <v>46256</v>
      </c>
      <c r="F388" t="inlineStr">
        <is>
          <t>JÖNKÖPINGS LÄN</t>
        </is>
      </c>
      <c r="G388" t="inlineStr">
        <is>
          <t>VÄRNAMO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45562</v>
      </c>
      <c r="E389" s="1" t="n">
        <v>46256</v>
      </c>
      <c r="F389" t="inlineStr">
        <is>
          <t>JÖNKÖPINGS LÄN</t>
        </is>
      </c>
      <c r="G389" t="inlineStr">
        <is>
          <t>VÄRNAMO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46256</v>
      </c>
      <c r="F390" t="inlineStr">
        <is>
          <t>JÖNKÖPINGS LÄN</t>
        </is>
      </c>
      <c r="G390" t="inlineStr">
        <is>
          <t>VÄRNAMO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3381-2026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46256</v>
      </c>
      <c r="F391" t="inlineStr">
        <is>
          <t>JÖNKÖPINGS LÄN</t>
        </is>
      </c>
      <c r="G391" t="inlineStr">
        <is>
          <t>VÄRNAMO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46256</v>
      </c>
      <c r="F392" t="inlineStr">
        <is>
          <t>JÖNKÖPINGS LÄN</t>
        </is>
      </c>
      <c r="G392" t="inlineStr">
        <is>
          <t>VÄRNAMO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46256</v>
      </c>
      <c r="F393" t="inlineStr">
        <is>
          <t>JÖNKÖPINGS LÄN</t>
        </is>
      </c>
      <c r="G393" t="inlineStr">
        <is>
          <t>VÄRNAMO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45328</v>
      </c>
      <c r="E394" s="1" t="n">
        <v>46256</v>
      </c>
      <c r="F394" t="inlineStr">
        <is>
          <t>JÖNKÖPINGS LÄN</t>
        </is>
      </c>
      <c r="G394" t="inlineStr">
        <is>
          <t>VÄRNAMO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46256</v>
      </c>
      <c r="F395" t="inlineStr">
        <is>
          <t>JÖNKÖPINGS LÄN</t>
        </is>
      </c>
      <c r="G395" t="inlineStr">
        <is>
          <t>VÄRNAMO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46256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46256</v>
      </c>
      <c r="F397" t="inlineStr">
        <is>
          <t>JÖNKÖPINGS LÄN</t>
        </is>
      </c>
      <c r="G397" t="inlineStr">
        <is>
          <t>VÄRNAMO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46256</v>
      </c>
      <c r="F398" t="inlineStr">
        <is>
          <t>JÖNKÖPINGS LÄN</t>
        </is>
      </c>
      <c r="G398" t="inlineStr">
        <is>
          <t>VÄRNAMO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46256</v>
      </c>
      <c r="F399" t="inlineStr">
        <is>
          <t>JÖNKÖPINGS LÄN</t>
        </is>
      </c>
      <c r="G399" t="inlineStr">
        <is>
          <t>VÄRNAMO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46256</v>
      </c>
      <c r="F400" t="inlineStr">
        <is>
          <t>JÖNKÖPINGS LÄN</t>
        </is>
      </c>
      <c r="G400" t="inlineStr">
        <is>
          <t>VÄRNAMO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45509</v>
      </c>
      <c r="E401" s="1" t="n">
        <v>46256</v>
      </c>
      <c r="F401" t="inlineStr">
        <is>
          <t>JÖNKÖPINGS LÄN</t>
        </is>
      </c>
      <c r="G401" t="inlineStr">
        <is>
          <t>VÄRNAMO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46256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23951-2026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46256</v>
      </c>
      <c r="F403" t="inlineStr">
        <is>
          <t>JÖNKÖPINGS LÄN</t>
        </is>
      </c>
      <c r="G403" t="inlineStr">
        <is>
          <t>VÄRNAMO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45308</v>
      </c>
      <c r="E404" s="1" t="n">
        <v>46256</v>
      </c>
      <c r="F404" t="inlineStr">
        <is>
          <t>JÖNKÖPINGS LÄN</t>
        </is>
      </c>
      <c r="G404" t="inlineStr">
        <is>
          <t>VÄRNAMO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5350-2026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46050</v>
      </c>
      <c r="E405" s="1" t="n">
        <v>46256</v>
      </c>
      <c r="F405" t="inlineStr">
        <is>
          <t>JÖNKÖPINGS LÄN</t>
        </is>
      </c>
      <c r="G405" t="inlineStr">
        <is>
          <t>VÄRNAMO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46256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46256</v>
      </c>
      <c r="F407" t="inlineStr">
        <is>
          <t>JÖNKÖPINGS LÄN</t>
        </is>
      </c>
      <c r="G407" t="inlineStr">
        <is>
          <t>VÄRNAMO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29162-2023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45105</v>
      </c>
      <c r="E408" s="1" t="n">
        <v>46256</v>
      </c>
      <c r="F408" t="inlineStr">
        <is>
          <t>JÖNKÖPINGS LÄN</t>
        </is>
      </c>
      <c r="G408" t="inlineStr">
        <is>
          <t>VÄRNAMO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29168-2023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45105</v>
      </c>
      <c r="E409" s="1" t="n">
        <v>46256</v>
      </c>
      <c r="F409" t="inlineStr">
        <is>
          <t>JÖNKÖPINGS LÄN</t>
        </is>
      </c>
      <c r="G409" t="inlineStr">
        <is>
          <t>VÄRNAMO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37353-2025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45876</v>
      </c>
      <c r="E410" s="1" t="n">
        <v>46256</v>
      </c>
      <c r="F410" t="inlineStr">
        <is>
          <t>JÖNKÖPINGS LÄN</t>
        </is>
      </c>
      <c r="G410" t="inlineStr">
        <is>
          <t>VÄRNAMO</t>
        </is>
      </c>
      <c r="I410" t="n">
        <v>14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46256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57858-2024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45631</v>
      </c>
      <c r="E412" s="1" t="n">
        <v>46256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14439-2023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45012</v>
      </c>
      <c r="E413" s="1" t="n">
        <v>46256</v>
      </c>
      <c r="F413" t="inlineStr">
        <is>
          <t>JÖNKÖPINGS LÄN</t>
        </is>
      </c>
      <c r="G413" t="inlineStr">
        <is>
          <t>VÄRNAMO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55764-2025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45972</v>
      </c>
      <c r="E414" s="1" t="n">
        <v>46256</v>
      </c>
      <c r="F414" t="inlineStr">
        <is>
          <t>JÖNKÖPINGS LÄN</t>
        </is>
      </c>
      <c r="G414" t="inlineStr">
        <is>
          <t>VÄRNAMO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46256</v>
      </c>
      <c r="F415" t="inlineStr">
        <is>
          <t>JÖNKÖPINGS LÄN</t>
        </is>
      </c>
      <c r="G415" t="inlineStr">
        <is>
          <t>VÄRNAMO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46256</v>
      </c>
      <c r="F416" t="inlineStr">
        <is>
          <t>JÖNKÖPINGS LÄN</t>
        </is>
      </c>
      <c r="G416" t="inlineStr">
        <is>
          <t>VÄRNAMO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45078</v>
      </c>
      <c r="E417" s="1" t="n">
        <v>46256</v>
      </c>
      <c r="F417" t="inlineStr">
        <is>
          <t>JÖNKÖPINGS LÄN</t>
        </is>
      </c>
      <c r="G417" t="inlineStr">
        <is>
          <t>VÄRNAMO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45357</v>
      </c>
      <c r="E418" s="1" t="n">
        <v>46256</v>
      </c>
      <c r="F418" t="inlineStr">
        <is>
          <t>JÖNKÖPINGS LÄN</t>
        </is>
      </c>
      <c r="G418" t="inlineStr">
        <is>
          <t>VÄRNAMO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46256</v>
      </c>
      <c r="F419" t="inlineStr">
        <is>
          <t>JÖNKÖPINGS LÄN</t>
        </is>
      </c>
      <c r="G419" t="inlineStr">
        <is>
          <t>VÄRNAMO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46256</v>
      </c>
      <c r="F420" t="inlineStr">
        <is>
          <t>JÖNKÖPINGS LÄN</t>
        </is>
      </c>
      <c r="G420" t="inlineStr">
        <is>
          <t>VÄRNAMO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46256</v>
      </c>
      <c r="F421" t="inlineStr">
        <is>
          <t>JÖNKÖPINGS LÄN</t>
        </is>
      </c>
      <c r="G421" t="inlineStr">
        <is>
          <t>VÄRNAMO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46172</v>
      </c>
      <c r="E422" s="1" t="n">
        <v>46256</v>
      </c>
      <c r="F422" t="inlineStr">
        <is>
          <t>JÖNKÖPINGS LÄN</t>
        </is>
      </c>
      <c r="G422" t="inlineStr">
        <is>
          <t>VÄRNAMO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45576</v>
      </c>
      <c r="E423" s="1" t="n">
        <v>46256</v>
      </c>
      <c r="F423" t="inlineStr">
        <is>
          <t>JÖNKÖPINGS LÄN</t>
        </is>
      </c>
      <c r="G423" t="inlineStr">
        <is>
          <t>VÄRNAMO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15105-2026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46101</v>
      </c>
      <c r="E424" s="1" t="n">
        <v>46256</v>
      </c>
      <c r="F424" t="inlineStr">
        <is>
          <t>JÖNKÖPINGS LÄN</t>
        </is>
      </c>
      <c r="G424" t="inlineStr">
        <is>
          <t>VÄRNAMO</t>
        </is>
      </c>
      <c r="I424" t="n">
        <v>58.2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46256</v>
      </c>
      <c r="F425" t="inlineStr">
        <is>
          <t>JÖNKÖPINGS LÄN</t>
        </is>
      </c>
      <c r="G425" t="inlineStr">
        <is>
          <t>VÄRNAMO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46256</v>
      </c>
      <c r="F426" t="inlineStr">
        <is>
          <t>JÖNKÖPINGS LÄN</t>
        </is>
      </c>
      <c r="G426" t="inlineStr">
        <is>
          <t>VÄRNAMO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45945</v>
      </c>
      <c r="E427" s="1" t="n">
        <v>46256</v>
      </c>
      <c r="F427" t="inlineStr">
        <is>
          <t>JÖNKÖPINGS LÄN</t>
        </is>
      </c>
      <c r="G427" t="inlineStr">
        <is>
          <t>VÄRNAMO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45517</v>
      </c>
      <c r="E428" s="1" t="n">
        <v>46256</v>
      </c>
      <c r="F428" t="inlineStr">
        <is>
          <t>JÖNKÖPINGS LÄN</t>
        </is>
      </c>
      <c r="G428" t="inlineStr">
        <is>
          <t>VÄRNAMO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8169-2026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46256</v>
      </c>
      <c r="F429" t="inlineStr">
        <is>
          <t>JÖNKÖPINGS LÄN</t>
        </is>
      </c>
      <c r="G429" t="inlineStr">
        <is>
          <t>VÄRNAMO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46064</v>
      </c>
      <c r="E430" s="1" t="n">
        <v>46256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9040-2025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45713</v>
      </c>
      <c r="E431" s="1" t="n">
        <v>46256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46256</v>
      </c>
      <c r="F432" t="inlineStr">
        <is>
          <t>JÖNKÖPINGS LÄN</t>
        </is>
      </c>
      <c r="G432" t="inlineStr">
        <is>
          <t>VÄRNAMO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68171-2021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44526</v>
      </c>
      <c r="E433" s="1" t="n">
        <v>46256</v>
      </c>
      <c r="F433" t="inlineStr">
        <is>
          <t>JÖNKÖPINGS LÄN</t>
        </is>
      </c>
      <c r="G433" t="inlineStr">
        <is>
          <t>VÄRNAMO</t>
        </is>
      </c>
      <c r="H433" t="inlineStr">
        <is>
          <t>Kommuner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11210-2024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45371</v>
      </c>
      <c r="E434" s="1" t="n">
        <v>46256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55373-2023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45238</v>
      </c>
      <c r="E435" s="1" t="n">
        <v>46256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37902-2023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45160</v>
      </c>
      <c r="E436" s="1" t="n">
        <v>46256</v>
      </c>
      <c r="F436" t="inlineStr">
        <is>
          <t>JÖNKÖPINGS LÄN</t>
        </is>
      </c>
      <c r="G436" t="inlineStr">
        <is>
          <t>VÄRNAMO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51294-2023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45219</v>
      </c>
      <c r="E437" s="1" t="n">
        <v>46256</v>
      </c>
      <c r="F437" t="inlineStr">
        <is>
          <t>JÖNKÖPINGS LÄN</t>
        </is>
      </c>
      <c r="G437" t="inlineStr">
        <is>
          <t>VÄRNAMO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46256</v>
      </c>
      <c r="F438" t="inlineStr">
        <is>
          <t>JÖNKÖPINGS LÄN</t>
        </is>
      </c>
      <c r="G438" t="inlineStr">
        <is>
          <t>VÄRNAMO</t>
        </is>
      </c>
      <c r="H438" t="inlineStr">
        <is>
          <t>Sveaskog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9975-2026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46073</v>
      </c>
      <c r="E439" s="1" t="n">
        <v>46256</v>
      </c>
      <c r="F439" t="inlineStr">
        <is>
          <t>JÖNKÖPINGS LÄN</t>
        </is>
      </c>
      <c r="G439" t="inlineStr">
        <is>
          <t>VÄRNAMO</t>
        </is>
      </c>
      <c r="H439" t="inlineStr">
        <is>
          <t>Sveaskog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10030-2026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46256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53533-2023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45223</v>
      </c>
      <c r="E441" s="1" t="n">
        <v>46256</v>
      </c>
      <c r="F441" t="inlineStr">
        <is>
          <t>JÖNKÖPINGS LÄN</t>
        </is>
      </c>
      <c r="G441" t="inlineStr">
        <is>
          <t>VÄRNAMO</t>
        </is>
      </c>
      <c r="H441" t="inlineStr">
        <is>
          <t>Kyrkan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46256</v>
      </c>
      <c r="F442" t="inlineStr">
        <is>
          <t>JÖNKÖPINGS LÄN</t>
        </is>
      </c>
      <c r="G442" t="inlineStr">
        <is>
          <t>VÄRNAMO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9983-2026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46073</v>
      </c>
      <c r="E443" s="1" t="n">
        <v>46256</v>
      </c>
      <c r="F443" t="inlineStr">
        <is>
          <t>JÖNKÖPINGS LÄN</t>
        </is>
      </c>
      <c r="G443" t="inlineStr">
        <is>
          <t>VÄRNAMO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9970-2026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46073</v>
      </c>
      <c r="E444" s="1" t="n">
        <v>46256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46256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46073</v>
      </c>
      <c r="E446" s="1" t="n">
        <v>46256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46078</v>
      </c>
      <c r="E447" s="1" t="n">
        <v>46256</v>
      </c>
      <c r="F447" t="inlineStr">
        <is>
          <t>JÖNKÖPINGS LÄN</t>
        </is>
      </c>
      <c r="G447" t="inlineStr">
        <is>
          <t>VÄRNAMO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45224</v>
      </c>
      <c r="E448" s="1" t="n">
        <v>46256</v>
      </c>
      <c r="F448" t="inlineStr">
        <is>
          <t>JÖNKÖPINGS LÄN</t>
        </is>
      </c>
      <c r="G448" t="inlineStr">
        <is>
          <t>VÄRNAMO</t>
        </is>
      </c>
      <c r="H448" t="inlineStr">
        <is>
          <t>Övriga Aktiebolag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11263-2026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46080</v>
      </c>
      <c r="E449" s="1" t="n">
        <v>46256</v>
      </c>
      <c r="F449" t="inlineStr">
        <is>
          <t>JÖNKÖPINGS LÄN</t>
        </is>
      </c>
      <c r="G449" t="inlineStr">
        <is>
          <t>VÄRNAMO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46080</v>
      </c>
      <c r="E450" s="1" t="n">
        <v>46256</v>
      </c>
      <c r="F450" t="inlineStr">
        <is>
          <t>JÖNKÖPINGS LÄN</t>
        </is>
      </c>
      <c r="G450" t="inlineStr">
        <is>
          <t>VÄRNAMO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46256</v>
      </c>
      <c r="F451" t="inlineStr">
        <is>
          <t>JÖNKÖPINGS LÄN</t>
        </is>
      </c>
      <c r="G451" t="inlineStr">
        <is>
          <t>VÄRNAMO</t>
        </is>
      </c>
      <c r="H451" t="inlineStr">
        <is>
          <t>Kommuner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11258-2026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46080</v>
      </c>
      <c r="E452" s="1" t="n">
        <v>46256</v>
      </c>
      <c r="F452" t="inlineStr">
        <is>
          <t>JÖNKÖPINGS LÄN</t>
        </is>
      </c>
      <c r="G452" t="inlineStr">
        <is>
          <t>VÄRNAMO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26222-2026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46182</v>
      </c>
      <c r="E453" s="1" t="n">
        <v>46256</v>
      </c>
      <c r="F453" t="inlineStr">
        <is>
          <t>JÖNKÖPINGS LÄN</t>
        </is>
      </c>
      <c r="G453" t="inlineStr">
        <is>
          <t>VÄRNAMO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46183</v>
      </c>
      <c r="E454" s="1" t="n">
        <v>46256</v>
      </c>
      <c r="F454" t="inlineStr">
        <is>
          <t>JÖNKÖPINGS LÄN</t>
        </is>
      </c>
      <c r="G454" t="inlineStr">
        <is>
          <t>VÄRNAMO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61503-2021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44501</v>
      </c>
      <c r="E455" s="1" t="n">
        <v>46256</v>
      </c>
      <c r="F455" t="inlineStr">
        <is>
          <t>JÖNKÖPINGS LÄN</t>
        </is>
      </c>
      <c r="G455" t="inlineStr">
        <is>
          <t>VÄRNAMO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12095-2026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46086</v>
      </c>
      <c r="E456" s="1" t="n">
        <v>46256</v>
      </c>
      <c r="F456" t="inlineStr">
        <is>
          <t>JÖNKÖPINGS LÄN</t>
        </is>
      </c>
      <c r="G456" t="inlineStr">
        <is>
          <t>VÄRNAMO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46256</v>
      </c>
      <c r="F457" t="inlineStr">
        <is>
          <t>JÖNKÖPINGS LÄN</t>
        </is>
      </c>
      <c r="G457" t="inlineStr">
        <is>
          <t>VÄRNAMO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46256</v>
      </c>
      <c r="F458" t="inlineStr">
        <is>
          <t>JÖNKÖPINGS LÄN</t>
        </is>
      </c>
      <c r="G458" t="inlineStr">
        <is>
          <t>VÄRNAMO</t>
        </is>
      </c>
      <c r="H458" t="inlineStr">
        <is>
          <t>Kommuner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46256</v>
      </c>
      <c r="F459" t="inlineStr">
        <is>
          <t>JÖNKÖPINGS LÄN</t>
        </is>
      </c>
      <c r="G459" t="inlineStr">
        <is>
          <t>VÄRNAMO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45674</v>
      </c>
      <c r="E460" s="1" t="n">
        <v>46256</v>
      </c>
      <c r="F460" t="inlineStr">
        <is>
          <t>JÖNKÖPINGS LÄN</t>
        </is>
      </c>
      <c r="G460" t="inlineStr">
        <is>
          <t>VÄRNAMO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45674</v>
      </c>
      <c r="E461" s="1" t="n">
        <v>46256</v>
      </c>
      <c r="F461" t="inlineStr">
        <is>
          <t>JÖNKÖPINGS LÄN</t>
        </is>
      </c>
      <c r="G461" t="inlineStr">
        <is>
          <t>VÄRNAMO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27153-2026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46188</v>
      </c>
      <c r="E462" s="1" t="n">
        <v>46256</v>
      </c>
      <c r="F462" t="inlineStr">
        <is>
          <t>JÖNKÖPINGS LÄN</t>
        </is>
      </c>
      <c r="G462" t="inlineStr">
        <is>
          <t>VÄRNAMO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46256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27154-2026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46256</v>
      </c>
      <c r="F464" t="inlineStr">
        <is>
          <t>JÖNKÖPINGS LÄN</t>
        </is>
      </c>
      <c r="G464" t="inlineStr">
        <is>
          <t>VÄRNAMO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46256</v>
      </c>
      <c r="F465" t="inlineStr">
        <is>
          <t>JÖNKÖPINGS LÄN</t>
        </is>
      </c>
      <c r="G465" t="inlineStr">
        <is>
          <t>VÄRNAMO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46256</v>
      </c>
      <c r="F466" t="inlineStr">
        <is>
          <t>JÖNKÖPINGS LÄN</t>
        </is>
      </c>
      <c r="G466" t="inlineStr">
        <is>
          <t>VÄRNAMO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45563</v>
      </c>
      <c r="E467" s="1" t="n">
        <v>46256</v>
      </c>
      <c r="F467" t="inlineStr">
        <is>
          <t>JÖNKÖPINGS LÄN</t>
        </is>
      </c>
      <c r="G467" t="inlineStr">
        <is>
          <t>VÄRNAMO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46256</v>
      </c>
      <c r="F468" t="inlineStr">
        <is>
          <t>JÖNKÖPINGS LÄN</t>
        </is>
      </c>
      <c r="G468" t="inlineStr">
        <is>
          <t>VÄRNAMO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44587</v>
      </c>
      <c r="E469" s="1" t="n">
        <v>46256</v>
      </c>
      <c r="F469" t="inlineStr">
        <is>
          <t>JÖNKÖPINGS LÄN</t>
        </is>
      </c>
      <c r="G469" t="inlineStr">
        <is>
          <t>VÄRNAMO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46256</v>
      </c>
      <c r="F470" t="inlineStr">
        <is>
          <t>JÖNKÖPINGS LÄN</t>
        </is>
      </c>
      <c r="G470" t="inlineStr">
        <is>
          <t>VÄRNAMO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56402-2023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45243</v>
      </c>
      <c r="E471" s="1" t="n">
        <v>46256</v>
      </c>
      <c r="F471" t="inlineStr">
        <is>
          <t>JÖNKÖPINGS LÄN</t>
        </is>
      </c>
      <c r="G471" t="inlineStr">
        <is>
          <t>VÄRNAMO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56421-2023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46256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46230</v>
      </c>
      <c r="E473" s="1" t="n">
        <v>46256</v>
      </c>
      <c r="F473" t="inlineStr">
        <is>
          <t>JÖNKÖPINGS LÄN</t>
        </is>
      </c>
      <c r="G473" t="inlineStr">
        <is>
          <t>VÄRNAMO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41206-2023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45174</v>
      </c>
      <c r="E474" s="1" t="n">
        <v>46256</v>
      </c>
      <c r="F474" t="inlineStr">
        <is>
          <t>JÖNKÖPINGS LÄN</t>
        </is>
      </c>
      <c r="G474" t="inlineStr">
        <is>
          <t>VÄRNAMO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46230</v>
      </c>
      <c r="E475" s="1" t="n">
        <v>46256</v>
      </c>
      <c r="F475" t="inlineStr">
        <is>
          <t>JÖNKÖPINGS LÄN</t>
        </is>
      </c>
      <c r="G475" t="inlineStr">
        <is>
          <t>VÄRNAMO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46230</v>
      </c>
      <c r="E476" s="1" t="n">
        <v>46256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74310-2021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44559</v>
      </c>
      <c r="E477" s="1" t="n">
        <v>46256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46256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46256</v>
      </c>
      <c r="F479" t="inlineStr">
        <is>
          <t>JÖNKÖPINGS LÄN</t>
        </is>
      </c>
      <c r="G479" t="inlineStr">
        <is>
          <t>VÄRNAMO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46256</v>
      </c>
      <c r="F480" t="inlineStr">
        <is>
          <t>JÖNKÖPINGS LÄN</t>
        </is>
      </c>
      <c r="G480" t="inlineStr">
        <is>
          <t>VÄRNAMO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46256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46099</v>
      </c>
      <c r="E482" s="1" t="n">
        <v>46256</v>
      </c>
      <c r="F482" t="inlineStr">
        <is>
          <t>JÖNKÖPINGS LÄN</t>
        </is>
      </c>
      <c r="G482" t="inlineStr">
        <is>
          <t>VÄRNAMO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27692-2026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46256</v>
      </c>
      <c r="F483" t="inlineStr">
        <is>
          <t>JÖNKÖPINGS LÄN</t>
        </is>
      </c>
      <c r="G483" t="inlineStr">
        <is>
          <t>VÄRNAMO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63924-2023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45278</v>
      </c>
      <c r="E484" s="1" t="n">
        <v>46256</v>
      </c>
      <c r="F484" t="inlineStr">
        <is>
          <t>JÖNKÖPINGS LÄN</t>
        </is>
      </c>
      <c r="G484" t="inlineStr">
        <is>
          <t>VÄRNAMO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46193</v>
      </c>
      <c r="E485" s="1" t="n">
        <v>46256</v>
      </c>
      <c r="F485" t="inlineStr">
        <is>
          <t>JÖNKÖPINGS LÄN</t>
        </is>
      </c>
      <c r="G485" t="inlineStr">
        <is>
          <t>VÄRNAMO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46256</v>
      </c>
      <c r="F486" t="inlineStr">
        <is>
          <t>JÖNKÖPINGS LÄN</t>
        </is>
      </c>
      <c r="G486" t="inlineStr">
        <is>
          <t>VÄRNAMO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46256</v>
      </c>
      <c r="F487" t="inlineStr">
        <is>
          <t>JÖNKÖPINGS LÄN</t>
        </is>
      </c>
      <c r="G487" t="inlineStr">
        <is>
          <t>VÄRNAMO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46256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46256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14698-2026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46101</v>
      </c>
      <c r="E490" s="1" t="n">
        <v>46256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46256</v>
      </c>
      <c r="F491" t="inlineStr">
        <is>
          <t>JÖNKÖPINGS LÄN</t>
        </is>
      </c>
      <c r="G491" t="inlineStr">
        <is>
          <t>VÄRNAMO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46191</v>
      </c>
      <c r="E492" s="1" t="n">
        <v>46256</v>
      </c>
      <c r="F492" t="inlineStr">
        <is>
          <t>JÖNKÖPINGS LÄN</t>
        </is>
      </c>
      <c r="G492" t="inlineStr">
        <is>
          <t>VÄRNAMO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46256</v>
      </c>
      <c r="F493" t="inlineStr">
        <is>
          <t>JÖNKÖPINGS LÄN</t>
        </is>
      </c>
      <c r="G493" t="inlineStr">
        <is>
          <t>VÄRNAMO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46256</v>
      </c>
      <c r="F494" t="inlineStr">
        <is>
          <t>JÖNKÖPINGS LÄN</t>
        </is>
      </c>
      <c r="G494" t="inlineStr">
        <is>
          <t>VÄRNAMO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45200</v>
      </c>
      <c r="E495" s="1" t="n">
        <v>46256</v>
      </c>
      <c r="F495" t="inlineStr">
        <is>
          <t>JÖNKÖPINGS LÄN</t>
        </is>
      </c>
      <c r="G495" t="inlineStr">
        <is>
          <t>VÄRNAMO</t>
        </is>
      </c>
      <c r="H495" t="inlineStr">
        <is>
          <t>Övriga Aktiebolag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46256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46256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46256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44820</v>
      </c>
      <c r="E499" s="1" t="n">
        <v>46256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40696-2023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45170</v>
      </c>
      <c r="E500" s="1" t="n">
        <v>46256</v>
      </c>
      <c r="F500" t="inlineStr">
        <is>
          <t>JÖNKÖPINGS LÄN</t>
        </is>
      </c>
      <c r="G500" t="inlineStr">
        <is>
          <t>VÄRNAMO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46256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46256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46256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46256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45258</v>
      </c>
      <c r="E505" s="1" t="n">
        <v>46256</v>
      </c>
      <c r="F505" t="inlineStr">
        <is>
          <t>JÖNKÖPINGS LÄN</t>
        </is>
      </c>
      <c r="G505" t="inlineStr">
        <is>
          <t>VÄRNAMO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46256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32413-2026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46238</v>
      </c>
      <c r="E507" s="1" t="n">
        <v>46256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14031-2024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45392</v>
      </c>
      <c r="E508" s="1" t="n">
        <v>46256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46256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45093</v>
      </c>
      <c r="E510" s="1" t="n">
        <v>46256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46256</v>
      </c>
      <c r="F511" t="inlineStr">
        <is>
          <t>JÖNKÖPINGS LÄN</t>
        </is>
      </c>
      <c r="G511" t="inlineStr">
        <is>
          <t>VÄRNAMO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46256</v>
      </c>
      <c r="F512" t="inlineStr">
        <is>
          <t>JÖNKÖPINGS LÄN</t>
        </is>
      </c>
      <c r="G512" t="inlineStr">
        <is>
          <t>VÄRNAMO</t>
        </is>
      </c>
      <c r="I512" t="n">
        <v>13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15101-2026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46101</v>
      </c>
      <c r="E513" s="1" t="n">
        <v>46256</v>
      </c>
      <c r="F513" t="inlineStr">
        <is>
          <t>JÖNKÖPINGS LÄN</t>
        </is>
      </c>
      <c r="G513" t="inlineStr">
        <is>
          <t>VÄRNAMO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16164-2024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45406</v>
      </c>
      <c r="E514" s="1" t="n">
        <v>46256</v>
      </c>
      <c r="F514" t="inlineStr">
        <is>
          <t>JÖNKÖPINGS LÄN</t>
        </is>
      </c>
      <c r="G514" t="inlineStr">
        <is>
          <t>VÄRNAMO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63656-2023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45275</v>
      </c>
      <c r="E515" s="1" t="n">
        <v>46256</v>
      </c>
      <c r="F515" t="inlineStr">
        <is>
          <t>JÖNKÖPINGS LÄN</t>
        </is>
      </c>
      <c r="G515" t="inlineStr">
        <is>
          <t>VÄRNAMO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46256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18509-2026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46256</v>
      </c>
      <c r="F517" t="inlineStr">
        <is>
          <t>JÖNKÖPINGS LÄN</t>
        </is>
      </c>
      <c r="G517" t="inlineStr">
        <is>
          <t>VÄRNAMO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46256</v>
      </c>
      <c r="F518" t="inlineStr">
        <is>
          <t>JÖNKÖPINGS LÄN</t>
        </is>
      </c>
      <c r="G518" t="inlineStr">
        <is>
          <t>VÄRNAMO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49605-2024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45596</v>
      </c>
      <c r="E519" s="1" t="n">
        <v>46256</v>
      </c>
      <c r="F519" t="inlineStr">
        <is>
          <t>JÖNKÖPINGS LÄN</t>
        </is>
      </c>
      <c r="G519" t="inlineStr">
        <is>
          <t>VÄRNAMO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46256</v>
      </c>
      <c r="F520" t="inlineStr">
        <is>
          <t>JÖNKÖPINGS LÄN</t>
        </is>
      </c>
      <c r="G520" t="inlineStr">
        <is>
          <t>VÄRNAMO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25102-2022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44729</v>
      </c>
      <c r="E521" s="1" t="n">
        <v>46256</v>
      </c>
      <c r="F521" t="inlineStr">
        <is>
          <t>JÖNKÖPINGS LÄN</t>
        </is>
      </c>
      <c r="G521" t="inlineStr">
        <is>
          <t>VÄRNAMO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44949</v>
      </c>
      <c r="E522" s="1" t="n">
        <v>46256</v>
      </c>
      <c r="F522" t="inlineStr">
        <is>
          <t>JÖNKÖPINGS LÄN</t>
        </is>
      </c>
      <c r="G522" t="inlineStr">
        <is>
          <t>VÄRNAMO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46093</v>
      </c>
      <c r="E523" s="1" t="n">
        <v>46256</v>
      </c>
      <c r="F523" t="inlineStr">
        <is>
          <t>JÖNKÖPINGS LÄN</t>
        </is>
      </c>
      <c r="G523" t="inlineStr">
        <is>
          <t>VÄRNAMO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45270</v>
      </c>
      <c r="E524" s="1" t="n">
        <v>46256</v>
      </c>
      <c r="F524" t="inlineStr">
        <is>
          <t>JÖNKÖPINGS LÄN</t>
        </is>
      </c>
      <c r="G524" t="inlineStr">
        <is>
          <t>VÄRNAMO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56272-2022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44890</v>
      </c>
      <c r="E525" s="1" t="n">
        <v>46256</v>
      </c>
      <c r="F525" t="inlineStr">
        <is>
          <t>JÖNKÖPINGS LÄN</t>
        </is>
      </c>
      <c r="G525" t="inlineStr">
        <is>
          <t>VÄRNAMO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29166-2023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45105</v>
      </c>
      <c r="E526" s="1" t="n">
        <v>46256</v>
      </c>
      <c r="F526" t="inlineStr">
        <is>
          <t>JÖNKÖPINGS LÄN</t>
        </is>
      </c>
      <c r="G526" t="inlineStr">
        <is>
          <t>VÄRNAMO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45674</v>
      </c>
      <c r="E527" s="1" t="n">
        <v>46256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45009</v>
      </c>
      <c r="E528" s="1" t="n">
        <v>46256</v>
      </c>
      <c r="F528" t="inlineStr">
        <is>
          <t>JÖNKÖPINGS LÄN</t>
        </is>
      </c>
      <c r="G528" t="inlineStr">
        <is>
          <t>VÄRNAMO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45688</v>
      </c>
      <c r="E529" s="1" t="n">
        <v>46256</v>
      </c>
      <c r="F529" t="inlineStr">
        <is>
          <t>JÖNKÖPINGS LÄN</t>
        </is>
      </c>
      <c r="G529" t="inlineStr">
        <is>
          <t>VÄRNAMO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45554</v>
      </c>
      <c r="E530" s="1" t="n">
        <v>46256</v>
      </c>
      <c r="F530" t="inlineStr">
        <is>
          <t>JÖNKÖPINGS LÄN</t>
        </is>
      </c>
      <c r="G530" t="inlineStr">
        <is>
          <t>VÄRNAMO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10540-2025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46256</v>
      </c>
      <c r="F531" t="inlineStr">
        <is>
          <t>JÖNKÖPINGS LÄN</t>
        </is>
      </c>
      <c r="G531" t="inlineStr">
        <is>
          <t>VÄRNAMO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44230-2023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45188</v>
      </c>
      <c r="E532" s="1" t="n">
        <v>46256</v>
      </c>
      <c r="F532" t="inlineStr">
        <is>
          <t>JÖNKÖPINGS LÄN</t>
        </is>
      </c>
      <c r="G532" t="inlineStr">
        <is>
          <t>VÄRNAMO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43782-2025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45912</v>
      </c>
      <c r="E533" s="1" t="n">
        <v>46256</v>
      </c>
      <c r="F533" t="inlineStr">
        <is>
          <t>JÖNKÖPINGS LÄN</t>
        </is>
      </c>
      <c r="G533" t="inlineStr">
        <is>
          <t>VÄRNAMO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38664-2024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45547</v>
      </c>
      <c r="E534" s="1" t="n">
        <v>46256</v>
      </c>
      <c r="F534" t="inlineStr">
        <is>
          <t>JÖNKÖPINGS LÄN</t>
        </is>
      </c>
      <c r="G534" t="inlineStr">
        <is>
          <t>VÄRNAMO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46256</v>
      </c>
      <c r="F535" t="inlineStr">
        <is>
          <t>JÖNKÖPINGS LÄN</t>
        </is>
      </c>
      <c r="G535" t="inlineStr">
        <is>
          <t>VÄRNAMO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57373-2023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45245</v>
      </c>
      <c r="E536" s="1" t="n">
        <v>46256</v>
      </c>
      <c r="F536" t="inlineStr">
        <is>
          <t>JÖNKÖPINGS LÄN</t>
        </is>
      </c>
      <c r="G536" t="inlineStr">
        <is>
          <t>VÄRNAMO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46256</v>
      </c>
      <c r="F537" t="inlineStr">
        <is>
          <t>JÖNKÖPINGS LÄN</t>
        </is>
      </c>
      <c r="G537" t="inlineStr">
        <is>
          <t>VÄRNAMO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56415-2023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45243</v>
      </c>
      <c r="E538" s="1" t="n">
        <v>46256</v>
      </c>
      <c r="F538" t="inlineStr">
        <is>
          <t>JÖNKÖPINGS LÄN</t>
        </is>
      </c>
      <c r="G538" t="inlineStr">
        <is>
          <t>VÄRNAMO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45558</v>
      </c>
      <c r="E539" s="1" t="n">
        <v>46256</v>
      </c>
      <c r="F539" t="inlineStr">
        <is>
          <t>JÖNKÖPINGS LÄN</t>
        </is>
      </c>
      <c r="G539" t="inlineStr">
        <is>
          <t>VÄRNAMO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74026-2021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44553</v>
      </c>
      <c r="E540" s="1" t="n">
        <v>46256</v>
      </c>
      <c r="F540" t="inlineStr">
        <is>
          <t>JÖNKÖPINGS LÄN</t>
        </is>
      </c>
      <c r="G540" t="inlineStr">
        <is>
          <t>VÄRNAMO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74027-2021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44553</v>
      </c>
      <c r="E541" s="1" t="n">
        <v>46256</v>
      </c>
      <c r="F541" t="inlineStr">
        <is>
          <t>JÖNKÖPINGS LÄN</t>
        </is>
      </c>
      <c r="G541" t="inlineStr">
        <is>
          <t>VÄRNAMO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45701</v>
      </c>
      <c r="E542" s="1" t="n">
        <v>46256</v>
      </c>
      <c r="F542" t="inlineStr">
        <is>
          <t>JÖNKÖPINGS LÄN</t>
        </is>
      </c>
      <c r="G542" t="inlineStr">
        <is>
          <t>VÄRNAMO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33731-2026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46256</v>
      </c>
      <c r="F543" t="inlineStr">
        <is>
          <t>JÖNKÖPINGS LÄN</t>
        </is>
      </c>
      <c r="G543" t="inlineStr">
        <is>
          <t>VÄRNAMO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45519</v>
      </c>
      <c r="E544" s="1" t="n">
        <v>46256</v>
      </c>
      <c r="F544" t="inlineStr">
        <is>
          <t>JÖNKÖPINGS LÄN</t>
        </is>
      </c>
      <c r="G544" t="inlineStr">
        <is>
          <t>VÄRNAMO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46256</v>
      </c>
      <c r="F545" t="inlineStr">
        <is>
          <t>JÖNKÖPINGS LÄN</t>
        </is>
      </c>
      <c r="G545" t="inlineStr">
        <is>
          <t>VÄRNAMO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46051-2025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45924</v>
      </c>
      <c r="E546" s="1" t="n">
        <v>46256</v>
      </c>
      <c r="F546" t="inlineStr">
        <is>
          <t>JÖNKÖPINGS LÄN</t>
        </is>
      </c>
      <c r="G546" t="inlineStr">
        <is>
          <t>VÄRNAMO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45393</v>
      </c>
      <c r="E547" s="1" t="n">
        <v>46256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45713</v>
      </c>
      <c r="E548" s="1" t="n">
        <v>46256</v>
      </c>
      <c r="F548" t="inlineStr">
        <is>
          <t>JÖNKÖPINGS LÄN</t>
        </is>
      </c>
      <c r="G548" t="inlineStr">
        <is>
          <t>VÄRNAMO</t>
        </is>
      </c>
      <c r="H548" t="inlineStr">
        <is>
          <t>Sveaskog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46256</v>
      </c>
      <c r="F549" t="inlineStr">
        <is>
          <t>JÖNKÖPINGS LÄN</t>
        </is>
      </c>
      <c r="G549" t="inlineStr">
        <is>
          <t>VÄRNAMO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33729-2026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46256</v>
      </c>
      <c r="F550" t="inlineStr">
        <is>
          <t>JÖNKÖPINGS LÄN</t>
        </is>
      </c>
      <c r="G550" t="inlineStr">
        <is>
          <t>VÄRNAMO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41316-2023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45173</v>
      </c>
      <c r="E551" s="1" t="n">
        <v>46256</v>
      </c>
      <c r="F551" t="inlineStr">
        <is>
          <t>JÖNKÖPINGS LÄN</t>
        </is>
      </c>
      <c r="G551" t="inlineStr">
        <is>
          <t>VÄRNAMO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45726</v>
      </c>
      <c r="E552" s="1" t="n">
        <v>46256</v>
      </c>
      <c r="F552" t="inlineStr">
        <is>
          <t>JÖNKÖPINGS LÄN</t>
        </is>
      </c>
      <c r="G552" t="inlineStr">
        <is>
          <t>VÄRNAMO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52883-2025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45957</v>
      </c>
      <c r="E553" s="1" t="n">
        <v>46256</v>
      </c>
      <c r="F553" t="inlineStr">
        <is>
          <t>JÖNKÖPINGS LÄN</t>
        </is>
      </c>
      <c r="G553" t="inlineStr">
        <is>
          <t>VÄRNAMO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46256</v>
      </c>
      <c r="F554" t="inlineStr">
        <is>
          <t>JÖNKÖPINGS LÄN</t>
        </is>
      </c>
      <c r="G554" t="inlineStr">
        <is>
          <t>VÄRNAMO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45758</v>
      </c>
      <c r="E555" s="1" t="n">
        <v>46256</v>
      </c>
      <c r="F555" t="inlineStr">
        <is>
          <t>JÖNKÖPINGS LÄN</t>
        </is>
      </c>
      <c r="G555" t="inlineStr">
        <is>
          <t>VÄRNAMO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46256</v>
      </c>
      <c r="F556" t="inlineStr">
        <is>
          <t>JÖNKÖPINGS LÄN</t>
        </is>
      </c>
      <c r="G556" t="inlineStr">
        <is>
          <t>VÄRNAMO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45343</v>
      </c>
      <c r="E557" s="1" t="n">
        <v>46256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45343</v>
      </c>
      <c r="E558" s="1" t="n">
        <v>46256</v>
      </c>
      <c r="F558" t="inlineStr">
        <is>
          <t>JÖNKÖPINGS LÄN</t>
        </is>
      </c>
      <c r="G558" t="inlineStr">
        <is>
          <t>VÄRNAMO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44721-2025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45917</v>
      </c>
      <c r="E559" s="1" t="n">
        <v>46256</v>
      </c>
      <c r="F559" t="inlineStr">
        <is>
          <t>JÖNKÖPINGS LÄN</t>
        </is>
      </c>
      <c r="G559" t="inlineStr">
        <is>
          <t>VÄRNAMO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46256</v>
      </c>
      <c r="F560" t="inlineStr">
        <is>
          <t>JÖNKÖPINGS LÄN</t>
        </is>
      </c>
      <c r="G560" t="inlineStr">
        <is>
          <t>VÄRNAMO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54704-2025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45966</v>
      </c>
      <c r="E561" s="1" t="n">
        <v>46256</v>
      </c>
      <c r="F561" t="inlineStr">
        <is>
          <t>JÖNKÖPINGS LÄN</t>
        </is>
      </c>
      <c r="G561" t="inlineStr">
        <is>
          <t>VÄRNAMO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39452-2025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45889</v>
      </c>
      <c r="E562" s="1" t="n">
        <v>46256</v>
      </c>
      <c r="F562" t="inlineStr">
        <is>
          <t>JÖNKÖPINGS LÄN</t>
        </is>
      </c>
      <c r="G562" t="inlineStr">
        <is>
          <t>VÄRNAMO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46256</v>
      </c>
      <c r="F563" t="inlineStr">
        <is>
          <t>JÖNKÖPINGS LÄN</t>
        </is>
      </c>
      <c r="G563" t="inlineStr">
        <is>
          <t>VÄRNAMO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44051-2023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45188</v>
      </c>
      <c r="E564" s="1" t="n">
        <v>46256</v>
      </c>
      <c r="F564" t="inlineStr">
        <is>
          <t>JÖNKÖPINGS LÄN</t>
        </is>
      </c>
      <c r="G564" t="inlineStr">
        <is>
          <t>VÄRNAMO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43162-2024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45567</v>
      </c>
      <c r="E565" s="1" t="n">
        <v>46256</v>
      </c>
      <c r="F565" t="inlineStr">
        <is>
          <t>JÖNKÖPINGS LÄN</t>
        </is>
      </c>
      <c r="G565" t="inlineStr">
        <is>
          <t>VÄRNAMO</t>
        </is>
      </c>
      <c r="H565" t="inlineStr">
        <is>
          <t>Kommuner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39656-2023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45167</v>
      </c>
      <c r="E566" s="1" t="n">
        <v>46256</v>
      </c>
      <c r="F566" t="inlineStr">
        <is>
          <t>JÖNKÖPINGS LÄN</t>
        </is>
      </c>
      <c r="G566" t="inlineStr">
        <is>
          <t>VÄRNAMO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36724-2025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45873</v>
      </c>
      <c r="E567" s="1" t="n">
        <v>46256</v>
      </c>
      <c r="F567" t="inlineStr">
        <is>
          <t>JÖNKÖPINGS LÄN</t>
        </is>
      </c>
      <c r="G567" t="inlineStr">
        <is>
          <t>VÄRNAMO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45905</v>
      </c>
      <c r="E568" s="1" t="n">
        <v>46256</v>
      </c>
      <c r="F568" t="inlineStr">
        <is>
          <t>JÖNKÖPINGS LÄN</t>
        </is>
      </c>
      <c r="G568" t="inlineStr">
        <is>
          <t>VÄRNAMO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42830-2024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45566</v>
      </c>
      <c r="E569" s="1" t="n">
        <v>46256</v>
      </c>
      <c r="F569" t="inlineStr">
        <is>
          <t>JÖNKÖPINGS LÄN</t>
        </is>
      </c>
      <c r="G569" t="inlineStr">
        <is>
          <t>VÄRNAMO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46256</v>
      </c>
      <c r="F570" t="inlineStr">
        <is>
          <t>JÖNKÖPINGS LÄN</t>
        </is>
      </c>
      <c r="G570" t="inlineStr">
        <is>
          <t>VÄRNAMO</t>
        </is>
      </c>
      <c r="I570" t="n">
        <v>11.6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36729-2022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44805</v>
      </c>
      <c r="E571" s="1" t="n">
        <v>46256</v>
      </c>
      <c r="F571" t="inlineStr">
        <is>
          <t>JÖNKÖPINGS LÄN</t>
        </is>
      </c>
      <c r="G571" t="inlineStr">
        <is>
          <t>VÄRNAMO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33348-2025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45841</v>
      </c>
      <c r="E572" s="1" t="n">
        <v>46256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33315-2025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45841</v>
      </c>
      <c r="E573" s="1" t="n">
        <v>46256</v>
      </c>
      <c r="F573" t="inlineStr">
        <is>
          <t>JÖNKÖPINGS LÄN</t>
        </is>
      </c>
      <c r="G573" t="inlineStr">
        <is>
          <t>VÄRNAMO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22086-2025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45785</v>
      </c>
      <c r="E574" s="1" t="n">
        <v>46256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20199-2022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44698</v>
      </c>
      <c r="E575" s="1" t="n">
        <v>46256</v>
      </c>
      <c r="F575" t="inlineStr">
        <is>
          <t>JÖNKÖPINGS LÄN</t>
        </is>
      </c>
      <c r="G575" t="inlineStr">
        <is>
          <t>VÄRNAMO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48615-2025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45936</v>
      </c>
      <c r="E576" s="1" t="n">
        <v>46256</v>
      </c>
      <c r="F576" t="inlineStr">
        <is>
          <t>JÖNKÖPINGS LÄN</t>
        </is>
      </c>
      <c r="G576" t="inlineStr">
        <is>
          <t>VÄRNAMO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27415-2025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45812</v>
      </c>
      <c r="E577" s="1" t="n">
        <v>46256</v>
      </c>
      <c r="F577" t="inlineStr">
        <is>
          <t>JÖNKÖPINGS LÄN</t>
        </is>
      </c>
      <c r="G577" t="inlineStr">
        <is>
          <t>VÄRNAMO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46256</v>
      </c>
      <c r="F578" t="inlineStr">
        <is>
          <t>JÖNKÖPINGS LÄN</t>
        </is>
      </c>
      <c r="G578" t="inlineStr">
        <is>
          <t>VÄRNAMO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46256</v>
      </c>
      <c r="F579" t="inlineStr">
        <is>
          <t>JÖNKÖPINGS LÄN</t>
        </is>
      </c>
      <c r="G579" t="inlineStr">
        <is>
          <t>VÄRNAMO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44936</v>
      </c>
      <c r="E580" s="1" t="n">
        <v>46256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45664</v>
      </c>
      <c r="E581" s="1" t="n">
        <v>46256</v>
      </c>
      <c r="F581" t="inlineStr">
        <is>
          <t>JÖNKÖPINGS LÄN</t>
        </is>
      </c>
      <c r="G581" t="inlineStr">
        <is>
          <t>VÄRNAMO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31793-2024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45509</v>
      </c>
      <c r="E582" s="1" t="n">
        <v>46256</v>
      </c>
      <c r="F582" t="inlineStr">
        <is>
          <t>JÖNKÖPINGS LÄN</t>
        </is>
      </c>
      <c r="G582" t="inlineStr">
        <is>
          <t>VÄRNAMO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45876</v>
      </c>
      <c r="E583" s="1" t="n">
        <v>46256</v>
      </c>
      <c r="F583" t="inlineStr">
        <is>
          <t>JÖNKÖPINGS LÄN</t>
        </is>
      </c>
      <c r="G583" t="inlineStr">
        <is>
          <t>VÄRNAMO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46256</v>
      </c>
      <c r="F584" t="inlineStr">
        <is>
          <t>JÖNKÖPINGS LÄN</t>
        </is>
      </c>
      <c r="G584" t="inlineStr">
        <is>
          <t>VÄRNAMO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18890-2023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46256</v>
      </c>
      <c r="F585" t="inlineStr">
        <is>
          <t>JÖNKÖPINGS LÄN</t>
        </is>
      </c>
      <c r="G585" t="inlineStr">
        <is>
          <t>VÄRNAMO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64002-2023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45278</v>
      </c>
      <c r="E586" s="1" t="n">
        <v>46256</v>
      </c>
      <c r="F586" t="inlineStr">
        <is>
          <t>JÖNKÖPINGS LÄN</t>
        </is>
      </c>
      <c r="G586" t="inlineStr">
        <is>
          <t>VÄRNAMO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51754-2024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45607</v>
      </c>
      <c r="E587" s="1" t="n">
        <v>46256</v>
      </c>
      <c r="F587" t="inlineStr">
        <is>
          <t>JÖNKÖPINGS LÄN</t>
        </is>
      </c>
      <c r="G587" t="inlineStr">
        <is>
          <t>VÄRNAMO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45279</v>
      </c>
      <c r="E588" s="1" t="n">
        <v>46256</v>
      </c>
      <c r="F588" t="inlineStr">
        <is>
          <t>JÖNKÖPINGS LÄN</t>
        </is>
      </c>
      <c r="G588" t="inlineStr">
        <is>
          <t>VÄRNAMO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44699</v>
      </c>
      <c r="E589" s="1" t="n">
        <v>46256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46468-2023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45197</v>
      </c>
      <c r="E590" s="1" t="n">
        <v>46256</v>
      </c>
      <c r="F590" t="inlineStr">
        <is>
          <t>JÖNKÖPINGS LÄN</t>
        </is>
      </c>
      <c r="G590" t="inlineStr">
        <is>
          <t>VÄRNAMO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45197</v>
      </c>
      <c r="E591" s="1" t="n">
        <v>46256</v>
      </c>
      <c r="F591" t="inlineStr">
        <is>
          <t>JÖNKÖPINGS LÄN</t>
        </is>
      </c>
      <c r="G591" t="inlineStr">
        <is>
          <t>VÄRNAMO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13930-2026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46098</v>
      </c>
      <c r="E592" s="1" t="n">
        <v>46256</v>
      </c>
      <c r="F592" t="inlineStr">
        <is>
          <t>JÖNKÖPINGS LÄN</t>
        </is>
      </c>
      <c r="G592" t="inlineStr">
        <is>
          <t>VÄRNAMO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35359-2023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45146</v>
      </c>
      <c r="E593" s="1" t="n">
        <v>46256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62798-2023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45271</v>
      </c>
      <c r="E594" s="1" t="n">
        <v>46256</v>
      </c>
      <c r="F594" t="inlineStr">
        <is>
          <t>JÖNKÖPINGS LÄN</t>
        </is>
      </c>
      <c r="G594" t="inlineStr">
        <is>
          <t>VÄRNAMO</t>
        </is>
      </c>
      <c r="H594" t="inlineStr">
        <is>
          <t>Kommuner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42575-2022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44831</v>
      </c>
      <c r="E595" s="1" t="n">
        <v>46256</v>
      </c>
      <c r="F595" t="inlineStr">
        <is>
          <t>JÖNKÖPINGS LÄN</t>
        </is>
      </c>
      <c r="G595" t="inlineStr">
        <is>
          <t>VÄRNAMO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61608-2023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45265</v>
      </c>
      <c r="E596" s="1" t="n">
        <v>46256</v>
      </c>
      <c r="F596" t="inlineStr">
        <is>
          <t>JÖNKÖPINGS LÄN</t>
        </is>
      </c>
      <c r="G596" t="inlineStr">
        <is>
          <t>VÄRNAMO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46256</v>
      </c>
      <c r="F597" t="inlineStr">
        <is>
          <t>JÖNKÖPINGS LÄN</t>
        </is>
      </c>
      <c r="G597" t="inlineStr">
        <is>
          <t>VÄRNAMO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44998</v>
      </c>
      <c r="E598" s="1" t="n">
        <v>46256</v>
      </c>
      <c r="F598" t="inlineStr">
        <is>
          <t>JÖNKÖPINGS LÄN</t>
        </is>
      </c>
      <c r="G598" t="inlineStr">
        <is>
          <t>VÄRNAMO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17464-2023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45036</v>
      </c>
      <c r="E599" s="1" t="n">
        <v>46256</v>
      </c>
      <c r="F599" t="inlineStr">
        <is>
          <t>JÖNKÖPINGS LÄN</t>
        </is>
      </c>
      <c r="G599" t="inlineStr">
        <is>
          <t>VÄRNAMO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45037</v>
      </c>
      <c r="E600" s="1" t="n">
        <v>46256</v>
      </c>
      <c r="F600" t="inlineStr">
        <is>
          <t>JÖNKÖPINGS LÄN</t>
        </is>
      </c>
      <c r="G600" t="inlineStr">
        <is>
          <t>VÄRNAMO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45718</v>
      </c>
      <c r="E601" s="1" t="n">
        <v>46256</v>
      </c>
      <c r="F601" t="inlineStr">
        <is>
          <t>JÖNKÖPINGS LÄN</t>
        </is>
      </c>
      <c r="G601" t="inlineStr">
        <is>
          <t>VÄRNAMO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45777</v>
      </c>
      <c r="E602" s="1" t="n">
        <v>46256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48186-2024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45589</v>
      </c>
      <c r="E603" s="1" t="n">
        <v>46256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46160</v>
      </c>
      <c r="E604" s="1" t="n">
        <v>46256</v>
      </c>
      <c r="F604" t="inlineStr">
        <is>
          <t>JÖNKÖPINGS LÄN</t>
        </is>
      </c>
      <c r="G604" t="inlineStr">
        <is>
          <t>VÄRNAMO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45468</v>
      </c>
      <c r="E605" s="1" t="n">
        <v>46256</v>
      </c>
      <c r="F605" t="inlineStr">
        <is>
          <t>JÖNKÖPINGS LÄN</t>
        </is>
      </c>
      <c r="G605" t="inlineStr">
        <is>
          <t>VÄRNAMO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19090-2024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45428</v>
      </c>
      <c r="E606" s="1" t="n">
        <v>46256</v>
      </c>
      <c r="F606" t="inlineStr">
        <is>
          <t>JÖNKÖPINGS LÄN</t>
        </is>
      </c>
      <c r="G606" t="inlineStr">
        <is>
          <t>VÄRNAMO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45547</v>
      </c>
      <c r="E607" s="1" t="n">
        <v>46256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56413-2023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45243</v>
      </c>
      <c r="E608" s="1" t="n">
        <v>46256</v>
      </c>
      <c r="F608" t="inlineStr">
        <is>
          <t>JÖNKÖPINGS LÄN</t>
        </is>
      </c>
      <c r="G608" t="inlineStr">
        <is>
          <t>VÄRNAMO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22220-2024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45445</v>
      </c>
      <c r="E609" s="1" t="n">
        <v>46256</v>
      </c>
      <c r="F609" t="inlineStr">
        <is>
          <t>JÖNKÖPINGS LÄN</t>
        </is>
      </c>
      <c r="G609" t="inlineStr">
        <is>
          <t>VÄRNAMO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46256</v>
      </c>
      <c r="F610" t="inlineStr">
        <is>
          <t>JÖNKÖPINGS LÄN</t>
        </is>
      </c>
      <c r="G610" t="inlineStr">
        <is>
          <t>VÄRNAMO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22994-2025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45790</v>
      </c>
      <c r="E611" s="1" t="n">
        <v>46256</v>
      </c>
      <c r="F611" t="inlineStr">
        <is>
          <t>JÖNKÖPINGS LÄN</t>
        </is>
      </c>
      <c r="G611" t="inlineStr">
        <is>
          <t>VÄRNAMO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46256</v>
      </c>
      <c r="F612" t="inlineStr">
        <is>
          <t>JÖNKÖPINGS LÄN</t>
        </is>
      </c>
      <c r="G612" t="inlineStr">
        <is>
          <t>VÄRNAMO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41893-2024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45561</v>
      </c>
      <c r="E613" s="1" t="n">
        <v>46256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23671-2025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45792</v>
      </c>
      <c r="E614" s="1" t="n">
        <v>46256</v>
      </c>
      <c r="F614" t="inlineStr">
        <is>
          <t>JÖNKÖPINGS LÄN</t>
        </is>
      </c>
      <c r="G614" t="inlineStr">
        <is>
          <t>VÄRNAMO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46256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2490-2025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45674</v>
      </c>
      <c r="E616" s="1" t="n">
        <v>46256</v>
      </c>
      <c r="F616" t="inlineStr">
        <is>
          <t>JÖNKÖPINGS LÄN</t>
        </is>
      </c>
      <c r="G616" t="inlineStr">
        <is>
          <t>VÄRNAMO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3709-2021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44379</v>
      </c>
      <c r="E617" s="1" t="n">
        <v>46256</v>
      </c>
      <c r="F617" t="inlineStr">
        <is>
          <t>JÖNKÖPINGS LÄN</t>
        </is>
      </c>
      <c r="G617" t="inlineStr">
        <is>
          <t>VÄRNAMO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3199-2023</t>
        </is>
      </c>
      <c r="B618" t="inlineStr">
        <is>
          <t>samrådsanmälan</t>
        </is>
      </c>
      <c r="C618" t="inlineStr">
        <is>
          <t>Dikesrensning</t>
        </is>
      </c>
      <c r="D618" s="1" t="n">
        <v>45194</v>
      </c>
      <c r="E618" s="1" t="n">
        <v>46256</v>
      </c>
      <c r="F618" t="inlineStr">
        <is>
          <t>JÖNKÖPINGS LÄN</t>
        </is>
      </c>
      <c r="G618" t="inlineStr">
        <is>
          <t>VÄRNAMO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1595-2024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45427</v>
      </c>
      <c r="E619" s="1" t="n">
        <v>46256</v>
      </c>
      <c r="F619" t="inlineStr">
        <is>
          <t>JÖNKÖPINGS LÄN</t>
        </is>
      </c>
      <c r="G619" t="inlineStr">
        <is>
          <t>VÄRNAMO</t>
        </is>
      </c>
      <c r="I619" t="n">
        <v>51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6462-2021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44449</v>
      </c>
      <c r="E620" s="1" t="n">
        <v>46256</v>
      </c>
      <c r="F620" t="inlineStr">
        <is>
          <t>JÖNKÖPINGS LÄN</t>
        </is>
      </c>
      <c r="G620" t="inlineStr">
        <is>
          <t>VÄRNAMO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1451-2024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45418</v>
      </c>
      <c r="E621" s="1" t="n">
        <v>46256</v>
      </c>
      <c r="F621" t="inlineStr">
        <is>
          <t>JÖNKÖPINGS LÄN</t>
        </is>
      </c>
      <c r="G621" t="inlineStr">
        <is>
          <t>VÄRNAMO</t>
        </is>
      </c>
      <c r="I621" t="n">
        <v>29.6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2455-2023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45117</v>
      </c>
      <c r="E622" s="1" t="n">
        <v>46256</v>
      </c>
      <c r="F622" t="inlineStr">
        <is>
          <t>JÖNKÖPINGS LÄN</t>
        </is>
      </c>
      <c r="G622" t="inlineStr">
        <is>
          <t>VÄRNAMO</t>
        </is>
      </c>
      <c r="H622" t="inlineStr">
        <is>
          <t>Övriga Aktiebolag</t>
        </is>
      </c>
      <c r="I622" t="n">
        <v>49.1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793-2023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44991</v>
      </c>
      <c r="E623" s="1" t="n">
        <v>46256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2484-2023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45119</v>
      </c>
      <c r="E624" s="1" t="n">
        <v>46256</v>
      </c>
      <c r="F624" t="inlineStr">
        <is>
          <t>JÖNKÖPINGS LÄN</t>
        </is>
      </c>
      <c r="G624" t="inlineStr">
        <is>
          <t>VÄRNAMO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1553-2024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45425</v>
      </c>
      <c r="E625" s="1" t="n">
        <v>46256</v>
      </c>
      <c r="F625" t="inlineStr">
        <is>
          <t>JÖNKÖPINGS LÄN</t>
        </is>
      </c>
      <c r="G625" t="inlineStr">
        <is>
          <t>VÄRNAMO</t>
        </is>
      </c>
      <c r="I625" t="n">
        <v>30.6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9360-2021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44519</v>
      </c>
      <c r="E626" s="1" t="n">
        <v>46256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1855-2024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45440</v>
      </c>
      <c r="E627" s="1" t="n">
        <v>46256</v>
      </c>
      <c r="F627" t="inlineStr">
        <is>
          <t>JÖNKÖPINGS LÄN</t>
        </is>
      </c>
      <c r="G627" t="inlineStr">
        <is>
          <t>VÄRNAMO</t>
        </is>
      </c>
      <c r="I627" t="n">
        <v>24.8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4295-2024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45583</v>
      </c>
      <c r="E628" s="1" t="n">
        <v>46256</v>
      </c>
      <c r="F628" t="inlineStr">
        <is>
          <t>JÖNKÖPINGS LÄN</t>
        </is>
      </c>
      <c r="G628" t="inlineStr">
        <is>
          <t>VÄRNAMO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9347-2021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44519</v>
      </c>
      <c r="E629" s="1" t="n">
        <v>46256</v>
      </c>
      <c r="F629" t="inlineStr">
        <is>
          <t>JÖNKÖPINGS LÄN</t>
        </is>
      </c>
      <c r="G629" t="inlineStr">
        <is>
          <t>VÄRNAMO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2486-2023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45119</v>
      </c>
      <c r="E630" s="1" t="n">
        <v>46256</v>
      </c>
      <c r="F630" t="inlineStr">
        <is>
          <t>JÖNKÖPINGS LÄN</t>
        </is>
      </c>
      <c r="G630" t="inlineStr">
        <is>
          <t>VÄRNAMO</t>
        </is>
      </c>
      <c r="I630" t="n">
        <v>22.8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2317-2023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45105</v>
      </c>
      <c r="E631" s="1" t="n">
        <v>46256</v>
      </c>
      <c r="F631" t="inlineStr">
        <is>
          <t>JÖNKÖPINGS LÄN</t>
        </is>
      </c>
      <c r="G631" t="inlineStr">
        <is>
          <t>VÄRNAMO</t>
        </is>
      </c>
      <c r="I631" t="n">
        <v>10.8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2512-2023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45122</v>
      </c>
      <c r="E632" s="1" t="n">
        <v>46256</v>
      </c>
      <c r="F632" t="inlineStr">
        <is>
          <t>JÖNKÖPINGS LÄN</t>
        </is>
      </c>
      <c r="G632" t="inlineStr">
        <is>
          <t>VÄRNAMO</t>
        </is>
      </c>
      <c r="I632" t="n">
        <v>63.2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7728-2021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44479</v>
      </c>
      <c r="E633" s="1" t="n">
        <v>46256</v>
      </c>
      <c r="F633" t="inlineStr">
        <is>
          <t>JÖNKÖPINGS LÄN</t>
        </is>
      </c>
      <c r="G633" t="inlineStr">
        <is>
          <t>VÄRNAMO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3557-2025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46256</v>
      </c>
      <c r="F634" t="inlineStr">
        <is>
          <t>JÖNKÖPINGS LÄN</t>
        </is>
      </c>
      <c r="G634" t="inlineStr">
        <is>
          <t>VÄRNAMO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46018</v>
      </c>
      <c r="E635" s="1" t="n">
        <v>46256</v>
      </c>
      <c r="F635" t="inlineStr">
        <is>
          <t>JÖNKÖPINGS LÄN</t>
        </is>
      </c>
      <c r="G635" t="inlineStr">
        <is>
          <t>VÄRNAMO</t>
        </is>
      </c>
      <c r="I635" t="n">
        <v>8.699999999999999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249-2026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46050</v>
      </c>
      <c r="E636" s="1" t="n">
        <v>46256</v>
      </c>
      <c r="F636" t="inlineStr">
        <is>
          <t>JÖNKÖPINGS LÄN</t>
        </is>
      </c>
      <c r="G636" t="inlineStr">
        <is>
          <t>VÄRNAMO</t>
        </is>
      </c>
      <c r="H636" t="inlineStr">
        <is>
          <t>Kommuner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239-2026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46052</v>
      </c>
      <c r="E637" s="1" t="n">
        <v>46256</v>
      </c>
      <c r="F637" t="inlineStr">
        <is>
          <t>JÖNKÖPINGS LÄN</t>
        </is>
      </c>
      <c r="G637" t="inlineStr">
        <is>
          <t>VÄRNAMO</t>
        </is>
      </c>
      <c r="H637" t="inlineStr">
        <is>
          <t>Kommuner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2026-08-22T01:50:58Z</dcterms:created>
  <dcterms:modified xmlns:dcterms="http://purl.org/dc/terms/" xmlns:xsi="http://www.w3.org/2001/XMLSchema-instance" xsi:type="dcterms:W3CDTF">2026-08-22T01:50:59Z</dcterms:modified>
</cp:coreProperties>
</file>