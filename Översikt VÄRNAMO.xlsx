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46220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46220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46220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46220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Stor revmossa
Västlig hakmossa
Spillkråka</t>
        </is>
      </c>
      <c r="V8">
        <f>HYPERLINK("https://klasma.github.io/Logging_0683/artfynd/A 4438-2024 artfynd.xlsx", "A 4438-2024")</f>
        <v/>
      </c>
      <c r="W8">
        <f>HYPERLINK("https://klasma.github.io/Logging_0683/kartor/A 4438-2024 karta.png", "A 4438-2024")</f>
        <v/>
      </c>
      <c r="Y8">
        <f>HYPERLINK("https://klasma.github.io/Logging_0683/klagomål/A 4438-2024 FSC-klagomål.docx", "A 4438-2024")</f>
        <v/>
      </c>
      <c r="Z8">
        <f>HYPERLINK("https://klasma.github.io/Logging_0683/klagomålsmail/A 4438-2024 FSC-klagomål mail.docx", "A 4438-2024")</f>
        <v/>
      </c>
      <c r="AA8">
        <f>HYPERLINK("https://klasma.github.io/Logging_0683/tillsyn/A 4438-2024 tillsynsbegäran.docx", "A 4438-2024")</f>
        <v/>
      </c>
      <c r="AB8">
        <f>HYPERLINK("https://klasma.github.io/Logging_0683/tillsynsmail/A 4438-2024 tillsynsbegäran mail.docx", "A 4438-2024")</f>
        <v/>
      </c>
      <c r="AC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46220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Gulpudrad spiklav
Rostfläck
Sotlav</t>
        </is>
      </c>
      <c r="V9">
        <f>HYPERLINK("https://klasma.github.io/Logging_0683/artfynd/A 1050-2026 artfynd.xlsx", "A 1050-2026")</f>
        <v/>
      </c>
      <c r="W9">
        <f>HYPERLINK("https://klasma.github.io/Logging_0683/kartor/A 1050-2026 karta.png", "A 1050-2026")</f>
        <v/>
      </c>
      <c r="Y9">
        <f>HYPERLINK("https://klasma.github.io/Logging_0683/klagomål/A 1050-2026 FSC-klagomål.docx", "A 1050-2026")</f>
        <v/>
      </c>
      <c r="Z9">
        <f>HYPERLINK("https://klasma.github.io/Logging_0683/klagomålsmail/A 1050-2026 FSC-klagomål mail.docx", "A 1050-2026")</f>
        <v/>
      </c>
      <c r="AA9">
        <f>HYPERLINK("https://klasma.github.io/Logging_0683/tillsyn/A 1050-2026 tillsynsbegäran.docx", "A 1050-2026")</f>
        <v/>
      </c>
      <c r="AB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46220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Stor revmossa
Vanlig groda</t>
        </is>
      </c>
      <c r="V10">
        <f>HYPERLINK("https://klasma.github.io/Logging_0683/artfynd/A 72729-2021 artfynd.xlsx", "A 72729-2021")</f>
        <v/>
      </c>
      <c r="W10">
        <f>HYPERLINK("https://klasma.github.io/Logging_0683/kartor/A 72729-2021 karta.png", "A 72729-2021")</f>
        <v/>
      </c>
      <c r="Y10">
        <f>HYPERLINK("https://klasma.github.io/Logging_0683/klagomål/A 72729-2021 FSC-klagomål.docx", "A 72729-2021")</f>
        <v/>
      </c>
      <c r="Z10">
        <f>HYPERLINK("https://klasma.github.io/Logging_0683/klagomålsmail/A 72729-2021 FSC-klagomål mail.docx", "A 72729-2021")</f>
        <v/>
      </c>
      <c r="AA10">
        <f>HYPERLINK("https://klasma.github.io/Logging_0683/tillsyn/A 72729-2021 tillsynsbegäran.docx", "A 72729-2021")</f>
        <v/>
      </c>
      <c r="AB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46220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s="2" t="inlineStr">
        <is>
          <t>Slåttergubbe
Hårginst
Klofibbla</t>
        </is>
      </c>
      <c r="V11">
        <f>HYPERLINK("https://klasma.github.io/Logging_0683/artfynd/A 15112-2026 artfynd.xlsx", "A 15112-2026")</f>
        <v/>
      </c>
      <c r="W11">
        <f>HYPERLINK("https://klasma.github.io/Logging_0683/kartor/A 15112-2026 karta.png", "A 15112-2026")</f>
        <v/>
      </c>
      <c r="Y11">
        <f>HYPERLINK("https://klasma.github.io/Logging_0683/klagomål/A 15112-2026 FSC-klagomål.docx", "A 15112-2026")</f>
        <v/>
      </c>
      <c r="Z11">
        <f>HYPERLINK("https://klasma.github.io/Logging_0683/klagomålsmail/A 15112-2026 FSC-klagomål mail.docx", "A 15112-2026")</f>
        <v/>
      </c>
      <c r="AA11">
        <f>HYPERLINK("https://klasma.github.io/Logging_0683/tillsyn/A 15112-2026 tillsynsbegäran.docx", "A 15112-2026")</f>
        <v/>
      </c>
      <c r="AB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46220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Skaftslamkrypa
Grönpyrola
Vätteros</t>
        </is>
      </c>
      <c r="V12">
        <f>HYPERLINK("https://klasma.github.io/Logging_0683/artfynd/A 29356-2024 artfynd.xlsx", "A 29356-2024")</f>
        <v/>
      </c>
      <c r="W12">
        <f>HYPERLINK("https://klasma.github.io/Logging_0683/kartor/A 29356-2024 karta.png", "A 29356-2024")</f>
        <v/>
      </c>
      <c r="Y12">
        <f>HYPERLINK("https://klasma.github.io/Logging_0683/klagomål/A 29356-2024 FSC-klagomål.docx", "A 29356-2024")</f>
        <v/>
      </c>
      <c r="Z12">
        <f>HYPERLINK("https://klasma.github.io/Logging_0683/klagomålsmail/A 29356-2024 FSC-klagomål mail.docx", "A 29356-2024")</f>
        <v/>
      </c>
      <c r="AA12">
        <f>HYPERLINK("https://klasma.github.io/Logging_0683/tillsyn/A 29356-2024 tillsynsbegäran.docx", "A 29356-2024")</f>
        <v/>
      </c>
      <c r="AB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46220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Gulpudrad spiklav</t>
        </is>
      </c>
      <c r="V13">
        <f>HYPERLINK("https://klasma.github.io/Logging_0683/artfynd/A 49187-2023 artfynd.xlsx", "A 49187-2023")</f>
        <v/>
      </c>
      <c r="W13">
        <f>HYPERLINK("https://klasma.github.io/Logging_0683/kartor/A 49187-2023 karta.png", "A 49187-2023")</f>
        <v/>
      </c>
      <c r="Y13">
        <f>HYPERLINK("https://klasma.github.io/Logging_0683/klagomål/A 49187-2023 FSC-klagomål.docx", "A 49187-2023")</f>
        <v/>
      </c>
      <c r="Z13">
        <f>HYPERLINK("https://klasma.github.io/Logging_0683/klagomålsmail/A 49187-2023 FSC-klagomål mail.docx", "A 49187-2023")</f>
        <v/>
      </c>
      <c r="AA13">
        <f>HYPERLINK("https://klasma.github.io/Logging_0683/tillsyn/A 49187-2023 tillsynsbegäran.docx", "A 49187-2023")</f>
        <v/>
      </c>
      <c r="AB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46220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46220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46220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46220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46220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Buskskvätta</t>
        </is>
      </c>
      <c r="V20">
        <f>HYPERLINK("https://klasma.github.io/Logging_0683/artfynd/A 17221-2025 artfynd.xlsx", "A 17221-2025")</f>
        <v/>
      </c>
      <c r="W20">
        <f>HYPERLINK("https://klasma.github.io/Logging_0683/kartor/A 17221-2025 karta.png", "A 17221-2025")</f>
        <v/>
      </c>
      <c r="Y20">
        <f>HYPERLINK("https://klasma.github.io/Logging_0683/klagomål/A 17221-2025 FSC-klagomål.docx", "A 17221-2025")</f>
        <v/>
      </c>
      <c r="Z20">
        <f>HYPERLINK("https://klasma.github.io/Logging_0683/klagomålsmail/A 17221-2025 FSC-klagomål mail.docx", "A 17221-2025")</f>
        <v/>
      </c>
      <c r="AA20">
        <f>HYPERLINK("https://klasma.github.io/Logging_0683/tillsyn/A 17221-2025 tillsynsbegäran.docx", "A 17221-2025")</f>
        <v/>
      </c>
      <c r="AB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46220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HYPERLINK("https://klasma.github.io/Logging_0683/artfynd/A 20253-2025 artfynd.xlsx", "A 20253-2025")</f>
        <v/>
      </c>
      <c r="W21">
        <f>HYPERLINK("https://klasma.github.io/Logging_0683/kartor/A 20253-2025 karta.png", "A 20253-2025")</f>
        <v/>
      </c>
      <c r="Y21">
        <f>HYPERLINK("https://klasma.github.io/Logging_0683/klagomål/A 20253-2025 FSC-klagomål.docx", "A 20253-2025")</f>
        <v/>
      </c>
      <c r="Z21">
        <f>HYPERLINK("https://klasma.github.io/Logging_0683/klagomålsmail/A 20253-2025 FSC-klagomål mail.docx", "A 20253-2025")</f>
        <v/>
      </c>
      <c r="AA21">
        <f>HYPERLINK("https://klasma.github.io/Logging_0683/tillsyn/A 20253-2025 tillsynsbegäran.docx", "A 20253-2025")</f>
        <v/>
      </c>
      <c r="AB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46220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HYPERLINK("https://klasma.github.io/Logging_0683/artfynd/A 19078-2025 artfynd.xlsx", "A 19078-2025")</f>
        <v/>
      </c>
      <c r="W22">
        <f>HYPERLINK("https://klasma.github.io/Logging_0683/kartor/A 19078-2025 karta.png", "A 19078-2025")</f>
        <v/>
      </c>
      <c r="X22">
        <f>HYPERLINK("https://klasma.github.io/Logging_0683/knärot/A 19078-2025 karta knärot.png", "A 19078-2025")</f>
        <v/>
      </c>
      <c r="Y22">
        <f>HYPERLINK("https://klasma.github.io/Logging_0683/klagomål/A 19078-2025 FSC-klagomål.docx", "A 19078-2025")</f>
        <v/>
      </c>
      <c r="Z22">
        <f>HYPERLINK("https://klasma.github.io/Logging_0683/klagomålsmail/A 19078-2025 FSC-klagomål mail.docx", "A 19078-2025")</f>
        <v/>
      </c>
      <c r="AA22">
        <f>HYPERLINK("https://klasma.github.io/Logging_0683/tillsyn/A 19078-2025 tillsynsbegäran.docx", "A 19078-2025")</f>
        <v/>
      </c>
      <c r="AB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46220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HYPERLINK("https://klasma.github.io/Logging_0683/artfynd/A 48887-2023 artfynd.xlsx", "A 48887-2023")</f>
        <v/>
      </c>
      <c r="W23">
        <f>HYPERLINK("https://klasma.github.io/Logging_0683/kartor/A 48887-2023 karta.png", "A 48887-2023")</f>
        <v/>
      </c>
      <c r="Y23">
        <f>HYPERLINK("https://klasma.github.io/Logging_0683/klagomål/A 48887-2023 FSC-klagomål.docx", "A 48887-2023")</f>
        <v/>
      </c>
      <c r="Z23">
        <f>HYPERLINK("https://klasma.github.io/Logging_0683/klagomålsmail/A 48887-2023 FSC-klagomål mail.docx", "A 48887-2023")</f>
        <v/>
      </c>
      <c r="AA23">
        <f>HYPERLINK("https://klasma.github.io/Logging_0683/tillsyn/A 48887-2023 tillsynsbegäran.docx", "A 48887-2023")</f>
        <v/>
      </c>
      <c r="AB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46220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Fällmossa</t>
        </is>
      </c>
      <c r="V24">
        <f>HYPERLINK("https://klasma.github.io/Logging_0683/artfynd/A 5761-2024 artfynd.xlsx", "A 5761-2024")</f>
        <v/>
      </c>
      <c r="W24">
        <f>HYPERLINK("https://klasma.github.io/Logging_0683/kartor/A 5761-2024 karta.png", "A 5761-2024")</f>
        <v/>
      </c>
      <c r="Y24">
        <f>HYPERLINK("https://klasma.github.io/Logging_0683/klagomål/A 5761-2024 FSC-klagomål.docx", "A 5761-2024")</f>
        <v/>
      </c>
      <c r="Z24">
        <f>HYPERLINK("https://klasma.github.io/Logging_0683/klagomålsmail/A 5761-2024 FSC-klagomål mail.docx", "A 5761-2024")</f>
        <v/>
      </c>
      <c r="AA24">
        <f>HYPERLINK("https://klasma.github.io/Logging_0683/tillsyn/A 5761-2024 tillsynsbegäran.docx", "A 5761-2024")</f>
        <v/>
      </c>
      <c r="AB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46220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HYPERLINK("https://klasma.github.io/Logging_0683/artfynd/A 61264-2023 artfynd.xlsx", "A 61264-2023")</f>
        <v/>
      </c>
      <c r="W25">
        <f>HYPERLINK("https://klasma.github.io/Logging_0683/kartor/A 61264-2023 karta.png", "A 61264-2023")</f>
        <v/>
      </c>
      <c r="Y25">
        <f>HYPERLINK("https://klasma.github.io/Logging_0683/klagomål/A 61264-2023 FSC-klagomål.docx", "A 61264-2023")</f>
        <v/>
      </c>
      <c r="Z25">
        <f>HYPERLINK("https://klasma.github.io/Logging_0683/klagomålsmail/A 61264-2023 FSC-klagomål mail.docx", "A 61264-2023")</f>
        <v/>
      </c>
      <c r="AA25">
        <f>HYPERLINK("https://klasma.github.io/Logging_0683/tillsyn/A 61264-2023 tillsynsbegäran.docx", "A 61264-2023")</f>
        <v/>
      </c>
      <c r="AB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46220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HYPERLINK("https://klasma.github.io/Logging_0683/artfynd/A 9986-2023 artfynd.xlsx", "A 9986-2023")</f>
        <v/>
      </c>
      <c r="W26">
        <f>HYPERLINK("https://klasma.github.io/Logging_0683/kartor/A 9986-2023 karta.png", "A 9986-2023")</f>
        <v/>
      </c>
      <c r="Y26">
        <f>HYPERLINK("https://klasma.github.io/Logging_0683/klagomål/A 9986-2023 FSC-klagomål.docx", "A 9986-2023")</f>
        <v/>
      </c>
      <c r="Z26">
        <f>HYPERLINK("https://klasma.github.io/Logging_0683/klagomålsmail/A 9986-2023 FSC-klagomål mail.docx", "A 9986-2023")</f>
        <v/>
      </c>
      <c r="AA26">
        <f>HYPERLINK("https://klasma.github.io/Logging_0683/tillsyn/A 9986-2023 tillsynsbegäran.docx", "A 9986-2023")</f>
        <v/>
      </c>
      <c r="AB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46220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Strandlummer</t>
        </is>
      </c>
      <c r="V27">
        <f>HYPERLINK("https://klasma.github.io/Logging_0683/artfynd/A 33366-2025 artfynd.xlsx", "A 33366-2025")</f>
        <v/>
      </c>
      <c r="W27">
        <f>HYPERLINK("https://klasma.github.io/Logging_0683/kartor/A 33366-2025 karta.png", "A 33366-2025")</f>
        <v/>
      </c>
      <c r="Y27">
        <f>HYPERLINK("https://klasma.github.io/Logging_0683/klagomål/A 33366-2025 FSC-klagomål.docx", "A 33366-2025")</f>
        <v/>
      </c>
      <c r="Z27">
        <f>HYPERLINK("https://klasma.github.io/Logging_0683/klagomålsmail/A 33366-2025 FSC-klagomål mail.docx", "A 33366-2025")</f>
        <v/>
      </c>
      <c r="AA27">
        <f>HYPERLINK("https://klasma.github.io/Logging_0683/tillsyn/A 33366-2025 tillsynsbegäran.docx", "A 33366-2025")</f>
        <v/>
      </c>
      <c r="AB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46220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Lunglav</t>
        </is>
      </c>
      <c r="V28">
        <f>HYPERLINK("https://klasma.github.io/Logging_0683/artfynd/A 23613-2023 artfynd.xlsx", "A 23613-2023")</f>
        <v/>
      </c>
      <c r="W28">
        <f>HYPERLINK("https://klasma.github.io/Logging_0683/kartor/A 23613-2023 karta.png", "A 23613-2023")</f>
        <v/>
      </c>
      <c r="Y28">
        <f>HYPERLINK("https://klasma.github.io/Logging_0683/klagomål/A 23613-2023 FSC-klagomål.docx", "A 23613-2023")</f>
        <v/>
      </c>
      <c r="Z28">
        <f>HYPERLINK("https://klasma.github.io/Logging_0683/klagomålsmail/A 23613-2023 FSC-klagomål mail.docx", "A 23613-2023")</f>
        <v/>
      </c>
      <c r="AA28">
        <f>HYPERLINK("https://klasma.github.io/Logging_0683/tillsyn/A 23613-2023 tillsynsbegäran.docx", "A 23613-2023")</f>
        <v/>
      </c>
      <c r="AB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46220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Klockgentiana</t>
        </is>
      </c>
      <c r="V29">
        <f>HYPERLINK("https://klasma.github.io/Logging_0683/artfynd/A 10842-2026 artfynd.xlsx", "A 10842-2026")</f>
        <v/>
      </c>
      <c r="W29">
        <f>HYPERLINK("https://klasma.github.io/Logging_0683/kartor/A 10842-2026 karta.png", "A 10842-2026")</f>
        <v/>
      </c>
      <c r="Y29">
        <f>HYPERLINK("https://klasma.github.io/Logging_0683/klagomål/A 10842-2026 FSC-klagomål.docx", "A 10842-2026")</f>
        <v/>
      </c>
      <c r="Z29">
        <f>HYPERLINK("https://klasma.github.io/Logging_0683/klagomålsmail/A 10842-2026 FSC-klagomål mail.docx", "A 10842-2026")</f>
        <v/>
      </c>
      <c r="AA29">
        <f>HYPERLINK("https://klasma.github.io/Logging_0683/tillsyn/A 10842-2026 tillsynsbegäran.docx", "A 10842-2026")</f>
        <v/>
      </c>
      <c r="AB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46220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46220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HYPERLINK("https://klasma.github.io/Logging_0683/artfynd/A 37198-2024 artfynd.xlsx", "A 37198-2024")</f>
        <v/>
      </c>
      <c r="W31">
        <f>HYPERLINK("https://klasma.github.io/Logging_0683/kartor/A 37198-2024 karta.png", "A 37198-2024")</f>
        <v/>
      </c>
      <c r="Y31">
        <f>HYPERLINK("https://klasma.github.io/Logging_0683/klagomål/A 37198-2024 FSC-klagomål.docx", "A 37198-2024")</f>
        <v/>
      </c>
      <c r="Z31">
        <f>HYPERLINK("https://klasma.github.io/Logging_0683/klagomålsmail/A 37198-2024 FSC-klagomål mail.docx", "A 37198-2024")</f>
        <v/>
      </c>
      <c r="AA31">
        <f>HYPERLINK("https://klasma.github.io/Logging_0683/tillsyn/A 37198-2024 tillsynsbegäran.docx", "A 37198-2024")</f>
        <v/>
      </c>
      <c r="AB31">
        <f>HYPERLINK("https://klasma.github.io/Logging_0683/tillsynsmail/A 37198-2024 tillsynsbegäran mail.docx", "A 37198-2024")</f>
        <v/>
      </c>
    </row>
    <row r="32" ht="15" customHeight="1">
      <c r="A32" t="inlineStr">
        <is>
          <t>A 53528-2023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45223</v>
      </c>
      <c r="E32" s="1" t="n">
        <v>46220</v>
      </c>
      <c r="F32" t="inlineStr">
        <is>
          <t>JÖNKÖPINGS LÄN</t>
        </is>
      </c>
      <c r="G32" t="inlineStr">
        <is>
          <t>VÄRNAMO</t>
        </is>
      </c>
      <c r="H32" t="inlineStr">
        <is>
          <t>Kyrkan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Svartvit flugsnappare</t>
        </is>
      </c>
      <c r="V32">
        <f>HYPERLINK("https://klasma.github.io/Logging_0683/artfynd/A 53528-2023 artfynd.xlsx", "A 53528-2023")</f>
        <v/>
      </c>
      <c r="W32">
        <f>HYPERLINK("https://klasma.github.io/Logging_0683/kartor/A 53528-2023 karta.png", "A 53528-2023")</f>
        <v/>
      </c>
      <c r="Y32">
        <f>HYPERLINK("https://klasma.github.io/Logging_0683/klagomål/A 53528-2023 FSC-klagomål.docx", "A 53528-2023")</f>
        <v/>
      </c>
      <c r="Z32">
        <f>HYPERLINK("https://klasma.github.io/Logging_0683/klagomålsmail/A 53528-2023 FSC-klagomål mail.docx", "A 53528-2023")</f>
        <v/>
      </c>
      <c r="AA32">
        <f>HYPERLINK("https://klasma.github.io/Logging_0683/tillsyn/A 53528-2023 tillsynsbegäran.docx", "A 53528-2023")</f>
        <v/>
      </c>
      <c r="AB32">
        <f>HYPERLINK("https://klasma.github.io/Logging_0683/tillsynsmail/A 53528-2023 tillsynsbegäran mail.docx", "A 53528-2023")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46220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HYPERLINK("https://klasma.github.io/Logging_0683/artfynd/A 27295-2026 artfynd.xlsx", "A 27295-2026")</f>
        <v/>
      </c>
      <c r="W33">
        <f>HYPERLINK("https://klasma.github.io/Logging_0683/kartor/A 27295-2026 karta.png", "A 27295-2026")</f>
        <v/>
      </c>
      <c r="Y33">
        <f>HYPERLINK("https://klasma.github.io/Logging_0683/klagomål/A 27295-2026 FSC-klagomål.docx", "A 27295-2026")</f>
        <v/>
      </c>
      <c r="Z33">
        <f>HYPERLINK("https://klasma.github.io/Logging_0683/klagomålsmail/A 27295-2026 FSC-klagomål mail.docx", "A 27295-2026")</f>
        <v/>
      </c>
      <c r="AA33">
        <f>HYPERLINK("https://klasma.github.io/Logging_0683/tillsyn/A 27295-2026 tillsynsbegäran.docx", "A 27295-2026")</f>
        <v/>
      </c>
      <c r="AB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46220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s="2" t="inlineStr">
        <is>
          <t>Rostfläck</t>
        </is>
      </c>
      <c r="V34">
        <f>HYPERLINK("https://klasma.github.io/Logging_0683/artfynd/A 28002-2026 artfynd.xlsx", "A 28002-2026")</f>
        <v/>
      </c>
      <c r="W34">
        <f>HYPERLINK("https://klasma.github.io/Logging_0683/kartor/A 28002-2026 karta.png", "A 28002-2026")</f>
        <v/>
      </c>
      <c r="Y34">
        <f>HYPERLINK("https://klasma.github.io/Logging_0683/klagomål/A 28002-2026 FSC-klagomål.docx", "A 28002-2026")</f>
        <v/>
      </c>
      <c r="Z34">
        <f>HYPERLINK("https://klasma.github.io/Logging_0683/klagomålsmail/A 28002-2026 FSC-klagomål mail.docx", "A 28002-2026")</f>
        <v/>
      </c>
      <c r="AA34">
        <f>HYPERLINK("https://klasma.github.io/Logging_0683/tillsyn/A 28002-2026 tillsynsbegäran.docx", "A 28002-2026")</f>
        <v/>
      </c>
      <c r="AB34">
        <f>HYPERLINK("https://klasma.github.io/Logging_0683/tillsynsmail/A 28002-2026 tillsynsbegäran mail.docx", "A 28002-2026")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46220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HYPERLINK("https://klasma.github.io/Logging_0683/artfynd/A 26198-2023 artfynd.xlsx", "A 26198-2023")</f>
        <v/>
      </c>
      <c r="W35">
        <f>HYPERLINK("https://klasma.github.io/Logging_0683/kartor/A 26198-2023 karta.png", "A 26198-2023")</f>
        <v/>
      </c>
      <c r="Y35">
        <f>HYPERLINK("https://klasma.github.io/Logging_0683/klagomål/A 26198-2023 FSC-klagomål.docx", "A 26198-2023")</f>
        <v/>
      </c>
      <c r="Z35">
        <f>HYPERLINK("https://klasma.github.io/Logging_0683/klagomålsmail/A 26198-2023 FSC-klagomål mail.docx", "A 26198-2023")</f>
        <v/>
      </c>
      <c r="AA35">
        <f>HYPERLINK("https://klasma.github.io/Logging_0683/tillsyn/A 26198-2023 tillsynsbegäran.docx", "A 26198-2023")</f>
        <v/>
      </c>
      <c r="AB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46220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Slåttergubbe</t>
        </is>
      </c>
      <c r="V36">
        <f>HYPERLINK("https://klasma.github.io/Logging_0683/artfynd/A 23370-2023 artfynd.xlsx", "A 23370-2023")</f>
        <v/>
      </c>
      <c r="W36">
        <f>HYPERLINK("https://klasma.github.io/Logging_0683/kartor/A 23370-2023 karta.png", "A 23370-2023")</f>
        <v/>
      </c>
      <c r="Y36">
        <f>HYPERLINK("https://klasma.github.io/Logging_0683/klagomål/A 23370-2023 FSC-klagomål.docx", "A 23370-2023")</f>
        <v/>
      </c>
      <c r="Z36">
        <f>HYPERLINK("https://klasma.github.io/Logging_0683/klagomålsmail/A 23370-2023 FSC-klagomål mail.docx", "A 23370-2023")</f>
        <v/>
      </c>
      <c r="AA36">
        <f>HYPERLINK("https://klasma.github.io/Logging_0683/tillsyn/A 23370-2023 tillsynsbegäran.docx", "A 23370-2023")</f>
        <v/>
      </c>
      <c r="AB36">
        <f>HYPERLINK("https://klasma.github.io/Logging_0683/tillsynsmail/A 23370-2023 tillsynsbegäran mail.docx", "A 23370-2023")</f>
        <v/>
      </c>
    </row>
    <row r="37" ht="15" customHeight="1">
      <c r="A37" t="inlineStr">
        <is>
          <t>A 23920-2026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46220</v>
      </c>
      <c r="F37" t="inlineStr">
        <is>
          <t>JÖNKÖPINGS LÄN</t>
        </is>
      </c>
      <c r="G37" t="inlineStr">
        <is>
          <t>VÄRNAMO</t>
        </is>
      </c>
      <c r="I37" t="n">
        <v>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Brandticka</t>
        </is>
      </c>
      <c r="V37">
        <f>HYPERLINK("https://klasma.github.io/Logging_0683/artfynd/A 23920-2026 artfynd.xlsx", "A 23920-2026")</f>
        <v/>
      </c>
      <c r="W37">
        <f>HYPERLINK("https://klasma.github.io/Logging_0683/kartor/A 23920-2026 karta.png", "A 23920-2026")</f>
        <v/>
      </c>
      <c r="Y37">
        <f>HYPERLINK("https://klasma.github.io/Logging_0683/klagomål/A 23920-2026 FSC-klagomål.docx", "A 23920-2026")</f>
        <v/>
      </c>
      <c r="Z37">
        <f>HYPERLINK("https://klasma.github.io/Logging_0683/klagomålsmail/A 23920-2026 FSC-klagomål mail.docx", "A 23920-2026")</f>
        <v/>
      </c>
      <c r="AA37">
        <f>HYPERLINK("https://klasma.github.io/Logging_0683/tillsyn/A 23920-2026 tillsynsbegäran.docx", "A 23920-2026")</f>
        <v/>
      </c>
      <c r="AB37">
        <f>HYPERLINK("https://klasma.github.io/Logging_0683/tillsynsmail/A 23920-2026 tillsynsbegäran mail.docx", "A 23920-2026")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46220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Motaggsvamp</t>
        </is>
      </c>
      <c r="V38">
        <f>HYPERLINK("https://klasma.github.io/Logging_0683/artfynd/A 63418-2021 artfynd.xlsx", "A 63418-2021")</f>
        <v/>
      </c>
      <c r="W38">
        <f>HYPERLINK("https://klasma.github.io/Logging_0683/kartor/A 63418-2021 karta.png", "A 63418-2021")</f>
        <v/>
      </c>
      <c r="Y38">
        <f>HYPERLINK("https://klasma.github.io/Logging_0683/klagomål/A 63418-2021 FSC-klagomål.docx", "A 63418-2021")</f>
        <v/>
      </c>
      <c r="Z38">
        <f>HYPERLINK("https://klasma.github.io/Logging_0683/klagomålsmail/A 63418-2021 FSC-klagomål mail.docx", "A 63418-2021")</f>
        <v/>
      </c>
      <c r="AA38">
        <f>HYPERLINK("https://klasma.github.io/Logging_0683/tillsyn/A 63418-2021 tillsynsbegäran.docx", "A 63418-2021")</f>
        <v/>
      </c>
      <c r="AB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46220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46220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46220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46220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46220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46220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46220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46220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46220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46220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46220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46220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46220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46220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46220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46220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46220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46220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46220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46220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46220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46220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46220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46220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46220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46220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46220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46220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46220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46220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46220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46220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46220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46220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46220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46220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46220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46220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46220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46220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46220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46220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46220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46220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46220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46220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46220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46220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46220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46220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46220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46220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46220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46220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46220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46220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46220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46220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46220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46220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46220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46220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46220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46220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46220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46220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44706</v>
      </c>
      <c r="E105" s="1" t="n">
        <v>46220</v>
      </c>
      <c r="F105" t="inlineStr">
        <is>
          <t>JÖNKÖPINGS LÄN</t>
        </is>
      </c>
      <c r="G105" t="inlineStr">
        <is>
          <t>VÄRNAMO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46220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46220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46220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46220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46220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24702-2022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44727</v>
      </c>
      <c r="E111" s="1" t="n">
        <v>46220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46220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13190-2024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46220</v>
      </c>
      <c r="F113" t="inlineStr">
        <is>
          <t>JÖNKÖPINGS LÄN</t>
        </is>
      </c>
      <c r="G113" t="inlineStr">
        <is>
          <t>VÄRNAMO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46220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46220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46220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43132-2024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46220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43155-2024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46220</v>
      </c>
      <c r="F118" t="inlineStr">
        <is>
          <t>JÖNKÖPINGS LÄN</t>
        </is>
      </c>
      <c r="G118" t="inlineStr">
        <is>
          <t>VÄRNAMO</t>
        </is>
      </c>
      <c r="H118" t="inlineStr">
        <is>
          <t>Kommuner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46220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13273-2025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46220</v>
      </c>
      <c r="F120" t="inlineStr">
        <is>
          <t>JÖNKÖPINGS LÄN</t>
        </is>
      </c>
      <c r="G120" t="inlineStr">
        <is>
          <t>VÄRNAMO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46220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60105-2024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46220</v>
      </c>
      <c r="F122" t="inlineStr">
        <is>
          <t>JÖNKÖPINGS LÄN</t>
        </is>
      </c>
      <c r="G122" t="inlineStr">
        <is>
          <t>VÄRNAMO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46220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46220</v>
      </c>
      <c r="F124" t="inlineStr">
        <is>
          <t>JÖNKÖPINGS LÄN</t>
        </is>
      </c>
      <c r="G124" t="inlineStr">
        <is>
          <t>VÄRNAMO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51463-2022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44869</v>
      </c>
      <c r="E125" s="1" t="n">
        <v>46220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45394</v>
      </c>
      <c r="E126" s="1" t="n">
        <v>46220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46220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46220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20254-2025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46220</v>
      </c>
      <c r="F129" t="inlineStr">
        <is>
          <t>JÖNKÖPINGS LÄN</t>
        </is>
      </c>
      <c r="G129" t="inlineStr">
        <is>
          <t>VÄRNAMO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34899-2023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46220</v>
      </c>
      <c r="F130" t="inlineStr">
        <is>
          <t>JÖNKÖPINGS LÄN</t>
        </is>
      </c>
      <c r="G130" t="inlineStr">
        <is>
          <t>VÄRNAMO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46220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26803-2023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46220</v>
      </c>
      <c r="F132" t="inlineStr">
        <is>
          <t>JÖNKÖPINGS LÄN</t>
        </is>
      </c>
      <c r="G132" t="inlineStr">
        <is>
          <t>VÄRNAMO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46220</v>
      </c>
      <c r="F133" t="inlineStr">
        <is>
          <t>JÖNKÖPINGS LÄN</t>
        </is>
      </c>
      <c r="G133" t="inlineStr">
        <is>
          <t>VÄRNAMO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15375-2023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46220</v>
      </c>
      <c r="F134" t="inlineStr">
        <is>
          <t>JÖNKÖPINGS LÄN</t>
        </is>
      </c>
      <c r="G134" t="inlineStr">
        <is>
          <t>VÄRNAMO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44929</v>
      </c>
      <c r="E135" s="1" t="n">
        <v>46220</v>
      </c>
      <c r="F135" t="inlineStr">
        <is>
          <t>JÖNKÖPINGS LÄN</t>
        </is>
      </c>
      <c r="G135" t="inlineStr">
        <is>
          <t>VÄRNAMO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46220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58739-2024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46220</v>
      </c>
      <c r="F137" t="inlineStr">
        <is>
          <t>JÖNKÖPINGS LÄN</t>
        </is>
      </c>
      <c r="G137" t="inlineStr">
        <is>
          <t>VÄRNAMO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49960-2024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46220</v>
      </c>
      <c r="F138" t="inlineStr">
        <is>
          <t>JÖNKÖPINGS LÄN</t>
        </is>
      </c>
      <c r="G138" t="inlineStr">
        <is>
          <t>VÄRNAMO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19229-2025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46220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46220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62294-2023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46220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9977-2024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46220</v>
      </c>
      <c r="F142" t="inlineStr">
        <is>
          <t>JÖNKÖPINGS LÄN</t>
        </is>
      </c>
      <c r="G142" t="inlineStr">
        <is>
          <t>VÄRNAMO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60037-2022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46220</v>
      </c>
      <c r="F143" t="inlineStr">
        <is>
          <t>JÖNKÖPINGS LÄN</t>
        </is>
      </c>
      <c r="G143" t="inlineStr">
        <is>
          <t>VÄRNAMO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46220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13272-2025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46220</v>
      </c>
      <c r="F145" t="inlineStr">
        <is>
          <t>JÖNKÖPINGS LÄN</t>
        </is>
      </c>
      <c r="G145" t="inlineStr">
        <is>
          <t>VÄRNAMO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55493-2022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46220</v>
      </c>
      <c r="F146" t="inlineStr">
        <is>
          <t>JÖNKÖPINGS LÄN</t>
        </is>
      </c>
      <c r="G146" t="inlineStr">
        <is>
          <t>VÄRNAMO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46220</v>
      </c>
      <c r="F147" t="inlineStr">
        <is>
          <t>JÖNKÖPINGS LÄN</t>
        </is>
      </c>
      <c r="G147" t="inlineStr">
        <is>
          <t>VÄRNAMO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40847-2024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46220</v>
      </c>
      <c r="F148" t="inlineStr">
        <is>
          <t>JÖNKÖPINGS LÄN</t>
        </is>
      </c>
      <c r="G148" t="inlineStr">
        <is>
          <t>VÄRNAMO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24100-2025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46220</v>
      </c>
      <c r="F149" t="inlineStr">
        <is>
          <t>JÖNKÖPINGS LÄN</t>
        </is>
      </c>
      <c r="G149" t="inlineStr">
        <is>
          <t>VÄRNAMO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29382-2024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45483</v>
      </c>
      <c r="E150" s="1" t="n">
        <v>46220</v>
      </c>
      <c r="F150" t="inlineStr">
        <is>
          <t>JÖNKÖPINGS LÄN</t>
        </is>
      </c>
      <c r="G150" t="inlineStr">
        <is>
          <t>VÄRNAMO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38156-2023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46220</v>
      </c>
      <c r="F151" t="inlineStr">
        <is>
          <t>JÖNKÖPINGS LÄN</t>
        </is>
      </c>
      <c r="G151" t="inlineStr">
        <is>
          <t>VÄRNAMO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32374-2024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46220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46220</v>
      </c>
      <c r="F153" t="inlineStr">
        <is>
          <t>JÖNKÖPINGS LÄN</t>
        </is>
      </c>
      <c r="G153" t="inlineStr">
        <is>
          <t>VÄRNAMO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46940-2022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44851</v>
      </c>
      <c r="E154" s="1" t="n">
        <v>46220</v>
      </c>
      <c r="F154" t="inlineStr">
        <is>
          <t>JÖNKÖPINGS LÄN</t>
        </is>
      </c>
      <c r="G154" t="inlineStr">
        <is>
          <t>VÄRNAMO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46220</v>
      </c>
      <c r="F155" t="inlineStr">
        <is>
          <t>JÖNKÖPINGS LÄN</t>
        </is>
      </c>
      <c r="G155" t="inlineStr">
        <is>
          <t>VÄRNAMO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46220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13065-2025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46220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45674</v>
      </c>
      <c r="E158" s="1" t="n">
        <v>46220</v>
      </c>
      <c r="F158" t="inlineStr">
        <is>
          <t>JÖNKÖPINGS LÄN</t>
        </is>
      </c>
      <c r="G158" t="inlineStr">
        <is>
          <t>VÄRNAMO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35266-2025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45853</v>
      </c>
      <c r="E159" s="1" t="n">
        <v>46220</v>
      </c>
      <c r="F159" t="inlineStr">
        <is>
          <t>JÖNKÖPINGS LÄN</t>
        </is>
      </c>
      <c r="G159" t="inlineStr">
        <is>
          <t>VÄRNAMO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39951-2024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46220</v>
      </c>
      <c r="F160" t="inlineStr">
        <is>
          <t>JÖNKÖPINGS LÄN</t>
        </is>
      </c>
      <c r="G160" t="inlineStr">
        <is>
          <t>VÄRNAMO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46868-2023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45200</v>
      </c>
      <c r="E161" s="1" t="n">
        <v>46220</v>
      </c>
      <c r="F161" t="inlineStr">
        <is>
          <t>JÖNKÖPINGS LÄN</t>
        </is>
      </c>
      <c r="G161" t="inlineStr">
        <is>
          <t>VÄRNAMO</t>
        </is>
      </c>
      <c r="H161" t="inlineStr">
        <is>
          <t>Övriga Aktiebolag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498-2026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46029</v>
      </c>
      <c r="E162" s="1" t="n">
        <v>46220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46220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25626-2025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46220</v>
      </c>
      <c r="F164" t="inlineStr">
        <is>
          <t>JÖNKÖPINGS LÄN</t>
        </is>
      </c>
      <c r="G164" t="inlineStr">
        <is>
          <t>VÄRNAMO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43858-2023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46220</v>
      </c>
      <c r="F165" t="inlineStr">
        <is>
          <t>JÖNKÖPINGS LÄN</t>
        </is>
      </c>
      <c r="G165" t="inlineStr">
        <is>
          <t>VÄRNAMO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46220</v>
      </c>
      <c r="F166" t="inlineStr">
        <is>
          <t>JÖNKÖPINGS LÄN</t>
        </is>
      </c>
      <c r="G166" t="inlineStr">
        <is>
          <t>VÄRNAMO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46220</v>
      </c>
      <c r="F167" t="inlineStr">
        <is>
          <t>JÖNKÖPINGS LÄN</t>
        </is>
      </c>
      <c r="G167" t="inlineStr">
        <is>
          <t>VÄRNAMO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46985-2024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46220</v>
      </c>
      <c r="F168" t="inlineStr">
        <is>
          <t>JÖNKÖPINGS LÄN</t>
        </is>
      </c>
      <c r="G168" t="inlineStr">
        <is>
          <t>VÄRNAMO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25084-2025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46220</v>
      </c>
      <c r="F169" t="inlineStr">
        <is>
          <t>JÖNKÖPINGS LÄN</t>
        </is>
      </c>
      <c r="G169" t="inlineStr">
        <is>
          <t>VÄRNAMO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48697-2022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46220</v>
      </c>
      <c r="F170" t="inlineStr">
        <is>
          <t>JÖNKÖPINGS LÄN</t>
        </is>
      </c>
      <c r="G170" t="inlineStr">
        <is>
          <t>VÄRNAMO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20835-2024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46220</v>
      </c>
      <c r="F171" t="inlineStr">
        <is>
          <t>JÖNKÖPINGS LÄN</t>
        </is>
      </c>
      <c r="G171" t="inlineStr">
        <is>
          <t>VÄRNAMO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46220</v>
      </c>
      <c r="F172" t="inlineStr">
        <is>
          <t>JÖNKÖPINGS LÄN</t>
        </is>
      </c>
      <c r="G172" t="inlineStr">
        <is>
          <t>VÄRNAMO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46220</v>
      </c>
      <c r="F173" t="inlineStr">
        <is>
          <t>JÖNKÖPINGS LÄN</t>
        </is>
      </c>
      <c r="G173" t="inlineStr">
        <is>
          <t>VÄRNAMO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46220</v>
      </c>
      <c r="F174" t="inlineStr">
        <is>
          <t>JÖNKÖPINGS LÄN</t>
        </is>
      </c>
      <c r="G174" t="inlineStr">
        <is>
          <t>VÄRNAMO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10435-2023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46220</v>
      </c>
      <c r="F175" t="inlineStr">
        <is>
          <t>JÖNKÖPINGS LÄN</t>
        </is>
      </c>
      <c r="G175" t="inlineStr">
        <is>
          <t>VÄRNAMO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46220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48658-2023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46220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46220</v>
      </c>
      <c r="F178" t="inlineStr">
        <is>
          <t>JÖNKÖPINGS LÄN</t>
        </is>
      </c>
      <c r="G178" t="inlineStr">
        <is>
          <t>VÄRNAMO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45853</v>
      </c>
      <c r="E179" s="1" t="n">
        <v>46220</v>
      </c>
      <c r="F179" t="inlineStr">
        <is>
          <t>JÖNKÖPINGS LÄN</t>
        </is>
      </c>
      <c r="G179" t="inlineStr">
        <is>
          <t>VÄRNAMO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39363-2025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46220</v>
      </c>
      <c r="F180" t="inlineStr">
        <is>
          <t>JÖNKÖPINGS LÄN</t>
        </is>
      </c>
      <c r="G180" t="inlineStr">
        <is>
          <t>VÄRNAMO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22101-2025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45785</v>
      </c>
      <c r="E181" s="1" t="n">
        <v>46220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46220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46220</v>
      </c>
      <c r="F183" t="inlineStr">
        <is>
          <t>JÖNKÖPINGS LÄN</t>
        </is>
      </c>
      <c r="G183" t="inlineStr">
        <is>
          <t>VÄRNAMO</t>
        </is>
      </c>
      <c r="I183" t="n">
        <v>12.6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46220</v>
      </c>
      <c r="F184" t="inlineStr">
        <is>
          <t>JÖNKÖPINGS LÄN</t>
        </is>
      </c>
      <c r="G184" t="inlineStr">
        <is>
          <t>VÄRNAMO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46220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7430-2023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46220</v>
      </c>
      <c r="F186" t="inlineStr">
        <is>
          <t>JÖNKÖPINGS LÄN</t>
        </is>
      </c>
      <c r="G186" t="inlineStr">
        <is>
          <t>VÄRNAMO</t>
        </is>
      </c>
      <c r="H186" t="inlineStr">
        <is>
          <t>Kommuner</t>
        </is>
      </c>
      <c r="I186" t="n">
        <v>12.9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17323-2022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44678</v>
      </c>
      <c r="E187" s="1" t="n">
        <v>46220</v>
      </c>
      <c r="F187" t="inlineStr">
        <is>
          <t>JÖNKÖPINGS LÄN</t>
        </is>
      </c>
      <c r="G187" t="inlineStr">
        <is>
          <t>VÄRNAMO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26436-2025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46220</v>
      </c>
      <c r="F188" t="inlineStr">
        <is>
          <t>JÖNKÖPINGS LÄN</t>
        </is>
      </c>
      <c r="G188" t="inlineStr">
        <is>
          <t>VÄRNAMO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46220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17684-2025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46220</v>
      </c>
      <c r="F190" t="inlineStr">
        <is>
          <t>JÖNKÖPINGS LÄN</t>
        </is>
      </c>
      <c r="G190" t="inlineStr">
        <is>
          <t>VÄRNAMO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61725-2024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46220</v>
      </c>
      <c r="F191" t="inlineStr">
        <is>
          <t>JÖNKÖPINGS LÄN</t>
        </is>
      </c>
      <c r="G191" t="inlineStr">
        <is>
          <t>VÄRNAMO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46220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28523-2025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46220</v>
      </c>
      <c r="F193" t="inlineStr">
        <is>
          <t>JÖNKÖPINGS LÄN</t>
        </is>
      </c>
      <c r="G193" t="inlineStr">
        <is>
          <t>VÄRNAMO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28890-2025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46220</v>
      </c>
      <c r="F194" t="inlineStr">
        <is>
          <t>JÖNKÖPINGS LÄN</t>
        </is>
      </c>
      <c r="G194" t="inlineStr">
        <is>
          <t>VÄRNAMO</t>
        </is>
      </c>
      <c r="H194" t="inlineStr">
        <is>
          <t>Kyrkan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46220</v>
      </c>
      <c r="F195" t="inlineStr">
        <is>
          <t>JÖNKÖPINGS LÄN</t>
        </is>
      </c>
      <c r="G195" t="inlineStr">
        <is>
          <t>VÄRNAMO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29685-2025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46220</v>
      </c>
      <c r="F196" t="inlineStr">
        <is>
          <t>JÖNKÖPINGS LÄN</t>
        </is>
      </c>
      <c r="G196" t="inlineStr">
        <is>
          <t>VÄRNAMO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46220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46220</v>
      </c>
      <c r="F198" t="inlineStr">
        <is>
          <t>JÖNKÖPINGS LÄN</t>
        </is>
      </c>
      <c r="G198" t="inlineStr">
        <is>
          <t>VÄRNAMO</t>
        </is>
      </c>
      <c r="H198" t="inlineStr">
        <is>
          <t>Sveaskog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57119-2023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46220</v>
      </c>
      <c r="F199" t="inlineStr">
        <is>
          <t>JÖNKÖPINGS LÄN</t>
        </is>
      </c>
      <c r="G199" t="inlineStr">
        <is>
          <t>VÄRNAMO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46220</v>
      </c>
      <c r="F200" t="inlineStr">
        <is>
          <t>JÖNKÖPINGS LÄN</t>
        </is>
      </c>
      <c r="G200" t="inlineStr">
        <is>
          <t>VÄRNAMO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46220</v>
      </c>
      <c r="F201" t="inlineStr">
        <is>
          <t>JÖNKÖPINGS LÄN</t>
        </is>
      </c>
      <c r="G201" t="inlineStr">
        <is>
          <t>VÄRNAMO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51472-2023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45221</v>
      </c>
      <c r="E202" s="1" t="n">
        <v>46220</v>
      </c>
      <c r="F202" t="inlineStr">
        <is>
          <t>JÖNKÖPINGS LÄN</t>
        </is>
      </c>
      <c r="G202" t="inlineStr">
        <is>
          <t>VÄRNAMO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46220</v>
      </c>
      <c r="F203" t="inlineStr">
        <is>
          <t>JÖNKÖPINGS LÄN</t>
        </is>
      </c>
      <c r="G203" t="inlineStr">
        <is>
          <t>VÄRNAMO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58766-2022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44903</v>
      </c>
      <c r="E204" s="1" t="n">
        <v>46220</v>
      </c>
      <c r="F204" t="inlineStr">
        <is>
          <t>JÖNKÖPINGS LÄN</t>
        </is>
      </c>
      <c r="G204" t="inlineStr">
        <is>
          <t>VÄRNAMO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31214-2025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46220</v>
      </c>
      <c r="F205" t="inlineStr">
        <is>
          <t>JÖNKÖPINGS LÄN</t>
        </is>
      </c>
      <c r="G205" t="inlineStr">
        <is>
          <t>VÄRNAMO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43963-2025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46220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31524-2025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46220</v>
      </c>
      <c r="F207" t="inlineStr">
        <is>
          <t>JÖNKÖPINGS LÄN</t>
        </is>
      </c>
      <c r="G207" t="inlineStr">
        <is>
          <t>VÄRNAMO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46220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44744-2025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46220</v>
      </c>
      <c r="F209" t="inlineStr">
        <is>
          <t>JÖNKÖPINGS LÄN</t>
        </is>
      </c>
      <c r="G209" t="inlineStr">
        <is>
          <t>VÄRNAMO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45659</v>
      </c>
      <c r="E210" s="1" t="n">
        <v>46220</v>
      </c>
      <c r="F210" t="inlineStr">
        <is>
          <t>JÖNKÖPINGS LÄN</t>
        </is>
      </c>
      <c r="G210" t="inlineStr">
        <is>
          <t>VÄRNAMO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44733-2025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46220</v>
      </c>
      <c r="F211" t="inlineStr">
        <is>
          <t>JÖNKÖPINGS LÄN</t>
        </is>
      </c>
      <c r="G211" t="inlineStr">
        <is>
          <t>VÄRNAMO</t>
        </is>
      </c>
      <c r="H211" t="inlineStr">
        <is>
          <t>Övriga Aktiebolag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45818-2022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46220</v>
      </c>
      <c r="F212" t="inlineStr">
        <is>
          <t>JÖNKÖPINGS LÄN</t>
        </is>
      </c>
      <c r="G212" t="inlineStr">
        <is>
          <t>VÄRNAMO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45275-2025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46220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45274-2025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46220</v>
      </c>
      <c r="F214" t="inlineStr">
        <is>
          <t>JÖNKÖPINGS LÄN</t>
        </is>
      </c>
      <c r="G214" t="inlineStr">
        <is>
          <t>VÄRNAMO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45160-2025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46220</v>
      </c>
      <c r="F215" t="inlineStr">
        <is>
          <t>JÖNKÖPINGS LÄN</t>
        </is>
      </c>
      <c r="G215" t="inlineStr">
        <is>
          <t>VÄRNAMO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46220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46220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46220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33377-2025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46220</v>
      </c>
      <c r="F219" t="inlineStr">
        <is>
          <t>JÖNKÖPINGS LÄN</t>
        </is>
      </c>
      <c r="G219" t="inlineStr">
        <is>
          <t>VÄRNAMO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33378-2025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46220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33376-2025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46220</v>
      </c>
      <c r="F221" t="inlineStr">
        <is>
          <t>JÖNKÖPINGS LÄN</t>
        </is>
      </c>
      <c r="G221" t="inlineStr">
        <is>
          <t>VÄRNAMO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44602</v>
      </c>
      <c r="E222" s="1" t="n">
        <v>46220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47738-2023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46220</v>
      </c>
      <c r="F223" t="inlineStr">
        <is>
          <t>JÖNKÖPINGS LÄN</t>
        </is>
      </c>
      <c r="G223" t="inlineStr">
        <is>
          <t>VÄRNAMO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45873-2025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46220</v>
      </c>
      <c r="F224" t="inlineStr">
        <is>
          <t>JÖNKÖPINGS LÄN</t>
        </is>
      </c>
      <c r="G224" t="inlineStr">
        <is>
          <t>VÄRNAMO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46220</v>
      </c>
      <c r="F225" t="inlineStr">
        <is>
          <t>JÖNKÖPINGS LÄN</t>
        </is>
      </c>
      <c r="G225" t="inlineStr">
        <is>
          <t>VÄRNAMO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45870-2025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46220</v>
      </c>
      <c r="F226" t="inlineStr">
        <is>
          <t>JÖNKÖPINGS LÄN</t>
        </is>
      </c>
      <c r="G226" t="inlineStr">
        <is>
          <t>VÄRNAMO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34245-2025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46220</v>
      </c>
      <c r="F227" t="inlineStr">
        <is>
          <t>JÖNKÖPINGS LÄN</t>
        </is>
      </c>
      <c r="G227" t="inlineStr">
        <is>
          <t>VÄRNAMO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12852-2022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44642</v>
      </c>
      <c r="E228" s="1" t="n">
        <v>46220</v>
      </c>
      <c r="F228" t="inlineStr">
        <is>
          <t>JÖNKÖPINGS LÄN</t>
        </is>
      </c>
      <c r="G228" t="inlineStr">
        <is>
          <t>VÄRNAMO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12857-2022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44642</v>
      </c>
      <c r="E229" s="1" t="n">
        <v>46220</v>
      </c>
      <c r="F229" t="inlineStr">
        <is>
          <t>JÖNKÖPINGS LÄN</t>
        </is>
      </c>
      <c r="G229" t="inlineStr">
        <is>
          <t>VÄRNAMO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59229-2024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45637</v>
      </c>
      <c r="E230" s="1" t="n">
        <v>46220</v>
      </c>
      <c r="F230" t="inlineStr">
        <is>
          <t>JÖNKÖPINGS LÄN</t>
        </is>
      </c>
      <c r="G230" t="inlineStr">
        <is>
          <t>VÄRNAMO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46220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46049-2025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46220</v>
      </c>
      <c r="F232" t="inlineStr">
        <is>
          <t>JÖNKÖPINGS LÄN</t>
        </is>
      </c>
      <c r="G232" t="inlineStr">
        <is>
          <t>VÄRNAMO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46220</v>
      </c>
      <c r="F233" t="inlineStr">
        <is>
          <t>JÖNKÖPINGS LÄN</t>
        </is>
      </c>
      <c r="G233" t="inlineStr">
        <is>
          <t>VÄRNAMO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46220</v>
      </c>
      <c r="F234" t="inlineStr">
        <is>
          <t>JÖNKÖPINGS LÄN</t>
        </is>
      </c>
      <c r="G234" t="inlineStr">
        <is>
          <t>VÄRNAMO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46220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46055-2025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46220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46220</v>
      </c>
      <c r="F237" t="inlineStr">
        <is>
          <t>JÖNKÖPINGS LÄN</t>
        </is>
      </c>
      <c r="G237" t="inlineStr">
        <is>
          <t>VÄRNAMO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47054-2024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46220</v>
      </c>
      <c r="F238" t="inlineStr">
        <is>
          <t>JÖNKÖPINGS LÄN</t>
        </is>
      </c>
      <c r="G238" t="inlineStr">
        <is>
          <t>VÄRNAMO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51351-2024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46220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46220</v>
      </c>
      <c r="F240" t="inlineStr">
        <is>
          <t>JÖNKÖPINGS LÄN</t>
        </is>
      </c>
      <c r="G240" t="inlineStr">
        <is>
          <t>VÄRNAMO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52780-2024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45610</v>
      </c>
      <c r="E241" s="1" t="n">
        <v>46220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45851</v>
      </c>
      <c r="E242" s="1" t="n">
        <v>46220</v>
      </c>
      <c r="F242" t="inlineStr">
        <is>
          <t>JÖNKÖPINGS LÄN</t>
        </is>
      </c>
      <c r="G242" t="inlineStr">
        <is>
          <t>VÄRNAMO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35007-2025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45851</v>
      </c>
      <c r="E243" s="1" t="n">
        <v>46220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44577</v>
      </c>
      <c r="E244" s="1" t="n">
        <v>46220</v>
      </c>
      <c r="F244" t="inlineStr">
        <is>
          <t>JÖNKÖPINGS LÄN</t>
        </is>
      </c>
      <c r="G244" t="inlineStr">
        <is>
          <t>VÄRNAMO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45853</v>
      </c>
      <c r="E245" s="1" t="n">
        <v>46220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47595-2024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46220</v>
      </c>
      <c r="F246" t="inlineStr">
        <is>
          <t>JÖNKÖPINGS LÄN</t>
        </is>
      </c>
      <c r="G246" t="inlineStr">
        <is>
          <t>VÄRNAMO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47603-2024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46220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15690-2025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45748</v>
      </c>
      <c r="E248" s="1" t="n">
        <v>46220</v>
      </c>
      <c r="F248" t="inlineStr">
        <is>
          <t>JÖNKÖPINGS LÄN</t>
        </is>
      </c>
      <c r="G248" t="inlineStr">
        <is>
          <t>VÄRNAMO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44566</v>
      </c>
      <c r="E249" s="1" t="n">
        <v>46220</v>
      </c>
      <c r="F249" t="inlineStr">
        <is>
          <t>JÖNKÖPINGS LÄN</t>
        </is>
      </c>
      <c r="G249" t="inlineStr">
        <is>
          <t>VÄRNAMO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39639-2023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46220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24703-2022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44727</v>
      </c>
      <c r="E251" s="1" t="n">
        <v>46220</v>
      </c>
      <c r="F251" t="inlineStr">
        <is>
          <t>JÖNKÖPINGS LÄN</t>
        </is>
      </c>
      <c r="G251" t="inlineStr">
        <is>
          <t>VÄRNAMO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22071-2023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46220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48289-2024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46220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62276-2023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46220</v>
      </c>
      <c r="F254" t="inlineStr">
        <is>
          <t>JÖNKÖPINGS LÄN</t>
        </is>
      </c>
      <c r="G254" t="inlineStr">
        <is>
          <t>VÄRNAMO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11213-2024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46220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25481-2025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45802</v>
      </c>
      <c r="E256" s="1" t="n">
        <v>46220</v>
      </c>
      <c r="F256" t="inlineStr">
        <is>
          <t>JÖNKÖPINGS LÄN</t>
        </is>
      </c>
      <c r="G256" t="inlineStr">
        <is>
          <t>VÄRNAMO</t>
        </is>
      </c>
      <c r="H256" t="inlineStr">
        <is>
          <t>Övriga Aktiebolag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36706-2025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45873</v>
      </c>
      <c r="E257" s="1" t="n">
        <v>46220</v>
      </c>
      <c r="F257" t="inlineStr">
        <is>
          <t>JÖNKÖPINGS LÄN</t>
        </is>
      </c>
      <c r="G257" t="inlineStr">
        <is>
          <t>VÄRNAMO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36662-2025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45873</v>
      </c>
      <c r="E258" s="1" t="n">
        <v>46220</v>
      </c>
      <c r="F258" t="inlineStr">
        <is>
          <t>JÖNKÖPINGS LÄN</t>
        </is>
      </c>
      <c r="G258" t="inlineStr">
        <is>
          <t>VÄRNAMO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49367-2025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46220</v>
      </c>
      <c r="F259" t="inlineStr">
        <is>
          <t>JÖNKÖPINGS LÄN</t>
        </is>
      </c>
      <c r="G259" t="inlineStr">
        <is>
          <t>VÄRNAMO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46220</v>
      </c>
      <c r="F260" t="inlineStr">
        <is>
          <t>JÖNKÖPINGS LÄN</t>
        </is>
      </c>
      <c r="G260" t="inlineStr">
        <is>
          <t>VÄRNAMO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46220</v>
      </c>
      <c r="F261" t="inlineStr">
        <is>
          <t>JÖNKÖPINGS LÄN</t>
        </is>
      </c>
      <c r="G261" t="inlineStr">
        <is>
          <t>VÄRNAMO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45876</v>
      </c>
      <c r="E262" s="1" t="n">
        <v>46220</v>
      </c>
      <c r="F262" t="inlineStr">
        <is>
          <t>JÖNKÖPINGS LÄN</t>
        </is>
      </c>
      <c r="G262" t="inlineStr">
        <is>
          <t>VÄRNAMO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45667</v>
      </c>
      <c r="E263" s="1" t="n">
        <v>46220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3378-2026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46220</v>
      </c>
      <c r="F264" t="inlineStr">
        <is>
          <t>JÖNKÖPINGS LÄN</t>
        </is>
      </c>
      <c r="G264" t="inlineStr">
        <is>
          <t>VÄRNAMO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47643-2023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45203</v>
      </c>
      <c r="E265" s="1" t="n">
        <v>46220</v>
      </c>
      <c r="F265" t="inlineStr">
        <is>
          <t>JÖNKÖPINGS LÄN</t>
        </is>
      </c>
      <c r="G265" t="inlineStr">
        <is>
          <t>VÄRNAMO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44677-2022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44840</v>
      </c>
      <c r="E266" s="1" t="n">
        <v>46220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46220</v>
      </c>
      <c r="F267" t="inlineStr">
        <is>
          <t>JÖNKÖPINGS LÄN</t>
        </is>
      </c>
      <c r="G267" t="inlineStr">
        <is>
          <t>VÄRNAMO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4043-2026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46044</v>
      </c>
      <c r="E268" s="1" t="n">
        <v>46220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46220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46220</v>
      </c>
      <c r="F270" t="inlineStr">
        <is>
          <t>JÖNKÖPINGS LÄN</t>
        </is>
      </c>
      <c r="G270" t="inlineStr">
        <is>
          <t>VÄRNAMO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46220</v>
      </c>
      <c r="F271" t="inlineStr">
        <is>
          <t>JÖNKÖPINGS LÄN</t>
        </is>
      </c>
      <c r="G271" t="inlineStr">
        <is>
          <t>VÄRNAMO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4424-2026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46220</v>
      </c>
      <c r="F272" t="inlineStr">
        <is>
          <t>JÖNKÖPINGS LÄN</t>
        </is>
      </c>
      <c r="G272" t="inlineStr">
        <is>
          <t>VÄRNAMO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42242-2024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46220</v>
      </c>
      <c r="F273" t="inlineStr">
        <is>
          <t>JÖNKÖPINGS LÄN</t>
        </is>
      </c>
      <c r="G273" t="inlineStr">
        <is>
          <t>VÄRNAMO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45280-2024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46220</v>
      </c>
      <c r="F274" t="inlineStr">
        <is>
          <t>JÖNKÖPINGS LÄN</t>
        </is>
      </c>
      <c r="G274" t="inlineStr">
        <is>
          <t>VÄRNAMO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52191-2023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45217</v>
      </c>
      <c r="E275" s="1" t="n">
        <v>46220</v>
      </c>
      <c r="F275" t="inlineStr">
        <is>
          <t>JÖNKÖPINGS LÄN</t>
        </is>
      </c>
      <c r="G275" t="inlineStr">
        <is>
          <t>VÄRNAMO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53473-2025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45959</v>
      </c>
      <c r="E276" s="1" t="n">
        <v>46220</v>
      </c>
      <c r="F276" t="inlineStr">
        <is>
          <t>JÖNKÖPINGS LÄN</t>
        </is>
      </c>
      <c r="G276" t="inlineStr">
        <is>
          <t>VÄRNAMO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46220</v>
      </c>
      <c r="F277" t="inlineStr">
        <is>
          <t>JÖNKÖPINGS LÄN</t>
        </is>
      </c>
      <c r="G277" t="inlineStr">
        <is>
          <t>VÄRNAMO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46220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57371-2023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46220</v>
      </c>
      <c r="F279" t="inlineStr">
        <is>
          <t>JÖNKÖPINGS LÄN</t>
        </is>
      </c>
      <c r="G279" t="inlineStr">
        <is>
          <t>VÄRNAMO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4185-2024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45324</v>
      </c>
      <c r="E280" s="1" t="n">
        <v>46220</v>
      </c>
      <c r="F280" t="inlineStr">
        <is>
          <t>JÖNKÖPINGS LÄN</t>
        </is>
      </c>
      <c r="G280" t="inlineStr">
        <is>
          <t>VÄRNAMO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23838-2022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46220</v>
      </c>
      <c r="F281" t="inlineStr">
        <is>
          <t>JÖNKÖPINGS LÄN</t>
        </is>
      </c>
      <c r="G281" t="inlineStr">
        <is>
          <t>VÄRNAMO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53004-2025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46220</v>
      </c>
      <c r="F282" t="inlineStr">
        <is>
          <t>JÖNKÖPINGS LÄN</t>
        </is>
      </c>
      <c r="G282" t="inlineStr">
        <is>
          <t>VÄRNAMO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45670</v>
      </c>
      <c r="E283" s="1" t="n">
        <v>46220</v>
      </c>
      <c r="F283" t="inlineStr">
        <is>
          <t>JÖNKÖPINGS LÄN</t>
        </is>
      </c>
      <c r="G283" t="inlineStr">
        <is>
          <t>VÄRNAMO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53005-2025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46220</v>
      </c>
      <c r="F284" t="inlineStr">
        <is>
          <t>JÖNKÖPINGS LÄN</t>
        </is>
      </c>
      <c r="G284" t="inlineStr">
        <is>
          <t>VÄRNAMO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46220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53009-2025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46220</v>
      </c>
      <c r="F286" t="inlineStr">
        <is>
          <t>JÖNKÖPINGS LÄN</t>
        </is>
      </c>
      <c r="G286" t="inlineStr">
        <is>
          <t>VÄRNAMO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5350-2026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46050</v>
      </c>
      <c r="E287" s="1" t="n">
        <v>46220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46220</v>
      </c>
      <c r="F288" t="inlineStr">
        <is>
          <t>JÖNKÖPINGS LÄN</t>
        </is>
      </c>
      <c r="G288" t="inlineStr">
        <is>
          <t>VÄRNAMO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54501-2025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46220</v>
      </c>
      <c r="F289" t="inlineStr">
        <is>
          <t>JÖNKÖPINGS LÄN</t>
        </is>
      </c>
      <c r="G289" t="inlineStr">
        <is>
          <t>VÄRNAMO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45120-2023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46220</v>
      </c>
      <c r="F290" t="inlineStr">
        <is>
          <t>JÖNKÖPINGS LÄN</t>
        </is>
      </c>
      <c r="G290" t="inlineStr">
        <is>
          <t>VÄRNAMO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61351-2023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46220</v>
      </c>
      <c r="F291" t="inlineStr">
        <is>
          <t>JÖNKÖPINGS LÄN</t>
        </is>
      </c>
      <c r="G291" t="inlineStr">
        <is>
          <t>VÄRNAMO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54703-2025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46220</v>
      </c>
      <c r="F292" t="inlineStr">
        <is>
          <t>JÖNKÖPINGS LÄN</t>
        </is>
      </c>
      <c r="G292" t="inlineStr">
        <is>
          <t>VÄRNAMO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26276-2023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46220</v>
      </c>
      <c r="F293" t="inlineStr">
        <is>
          <t>JÖNKÖPINGS LÄN</t>
        </is>
      </c>
      <c r="G293" t="inlineStr">
        <is>
          <t>VÄRNAMO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46220</v>
      </c>
      <c r="F294" t="inlineStr">
        <is>
          <t>JÖNKÖPINGS LÄN</t>
        </is>
      </c>
      <c r="G294" t="inlineStr">
        <is>
          <t>VÄRNAMO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59757-2021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44494</v>
      </c>
      <c r="E295" s="1" t="n">
        <v>46220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55454-2025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46220</v>
      </c>
      <c r="F296" t="inlineStr">
        <is>
          <t>JÖNKÖPINGS LÄN</t>
        </is>
      </c>
      <c r="G296" t="inlineStr">
        <is>
          <t>VÄRNAMO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55446-2025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46220</v>
      </c>
      <c r="F297" t="inlineStr">
        <is>
          <t>JÖNKÖPINGS LÄN</t>
        </is>
      </c>
      <c r="G297" t="inlineStr">
        <is>
          <t>VÄRNAMO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55448-2025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46220</v>
      </c>
      <c r="F298" t="inlineStr">
        <is>
          <t>JÖNKÖPINGS LÄN</t>
        </is>
      </c>
      <c r="G298" t="inlineStr">
        <is>
          <t>VÄRNAMO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7044-2026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46220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7045-2026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46220</v>
      </c>
      <c r="F300" t="inlineStr">
        <is>
          <t>JÖNKÖPINGS LÄN</t>
        </is>
      </c>
      <c r="G300" t="inlineStr">
        <is>
          <t>VÄRNAMO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47968-2022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44853</v>
      </c>
      <c r="E301" s="1" t="n">
        <v>46220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47987-2022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44853</v>
      </c>
      <c r="E302" s="1" t="n">
        <v>46220</v>
      </c>
      <c r="F302" t="inlineStr">
        <is>
          <t>JÖNKÖPINGS LÄN</t>
        </is>
      </c>
      <c r="G302" t="inlineStr">
        <is>
          <t>VÄRNAMO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55447-2025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46220</v>
      </c>
      <c r="F303" t="inlineStr">
        <is>
          <t>JÖNKÖPINGS LÄN</t>
        </is>
      </c>
      <c r="G303" t="inlineStr">
        <is>
          <t>VÄRNAMO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55527-2025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46220</v>
      </c>
      <c r="F304" t="inlineStr">
        <is>
          <t>JÖNKÖPINGS LÄN</t>
        </is>
      </c>
      <c r="G304" t="inlineStr">
        <is>
          <t>VÄRNAMO</t>
        </is>
      </c>
      <c r="H304" t="inlineStr">
        <is>
          <t>Kommuner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55777-2025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46220</v>
      </c>
      <c r="F305" t="inlineStr">
        <is>
          <t>JÖNKÖPINGS LÄN</t>
        </is>
      </c>
      <c r="G305" t="inlineStr">
        <is>
          <t>VÄRNAMO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46220</v>
      </c>
      <c r="F306" t="inlineStr">
        <is>
          <t>JÖNKÖPINGS LÄN</t>
        </is>
      </c>
      <c r="G306" t="inlineStr">
        <is>
          <t>VÄRNAMO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23836-2022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46220</v>
      </c>
      <c r="F307" t="inlineStr">
        <is>
          <t>JÖNKÖPINGS LÄN</t>
        </is>
      </c>
      <c r="G307" t="inlineStr">
        <is>
          <t>VÄRNAMO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56409-2025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46220</v>
      </c>
      <c r="F308" t="inlineStr">
        <is>
          <t>JÖNKÖPINGS LÄN</t>
        </is>
      </c>
      <c r="G308" t="inlineStr">
        <is>
          <t>VÄRNAMO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56580-2025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46220</v>
      </c>
      <c r="F309" t="inlineStr">
        <is>
          <t>JÖNKÖPINGS LÄN</t>
        </is>
      </c>
      <c r="G309" t="inlineStr">
        <is>
          <t>VÄRNAMO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9836-2023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46220</v>
      </c>
      <c r="F310" t="inlineStr">
        <is>
          <t>JÖNKÖPINGS LÄN</t>
        </is>
      </c>
      <c r="G310" t="inlineStr">
        <is>
          <t>VÄRNAMO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54000-2021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44470</v>
      </c>
      <c r="E311" s="1" t="n">
        <v>46220</v>
      </c>
      <c r="F311" t="inlineStr">
        <is>
          <t>JÖNKÖPINGS LÄN</t>
        </is>
      </c>
      <c r="G311" t="inlineStr">
        <is>
          <t>VÄRNAMO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31730-2024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45509</v>
      </c>
      <c r="E312" s="1" t="n">
        <v>46220</v>
      </c>
      <c r="F312" t="inlineStr">
        <is>
          <t>JÖNKÖPINGS LÄN</t>
        </is>
      </c>
      <c r="G312" t="inlineStr">
        <is>
          <t>VÄRNAMO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57718-2025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46220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57719-2025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46220</v>
      </c>
      <c r="F314" t="inlineStr">
        <is>
          <t>JÖNKÖPINGS LÄN</t>
        </is>
      </c>
      <c r="G314" t="inlineStr">
        <is>
          <t>VÄRNAMO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41460-2023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46220</v>
      </c>
      <c r="F315" t="inlineStr">
        <is>
          <t>JÖNKÖPINGS LÄN</t>
        </is>
      </c>
      <c r="G315" t="inlineStr">
        <is>
          <t>VÄRNAMO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7834-2026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46220</v>
      </c>
      <c r="F316" t="inlineStr">
        <is>
          <t>JÖNKÖPINGS LÄN</t>
        </is>
      </c>
      <c r="G316" t="inlineStr">
        <is>
          <t>VÄRNAMO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46220</v>
      </c>
      <c r="F317" t="inlineStr">
        <is>
          <t>JÖNKÖPINGS LÄN</t>
        </is>
      </c>
      <c r="G317" t="inlineStr">
        <is>
          <t>VÄRNAMO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60178-2024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46220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7839-2026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46220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40486-2022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44823</v>
      </c>
      <c r="E320" s="1" t="n">
        <v>46220</v>
      </c>
      <c r="F320" t="inlineStr">
        <is>
          <t>JÖNKÖPINGS LÄN</t>
        </is>
      </c>
      <c r="G320" t="inlineStr">
        <is>
          <t>VÄRNAMO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48664-2023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46220</v>
      </c>
      <c r="F321" t="inlineStr">
        <is>
          <t>JÖNKÖPINGS LÄN</t>
        </is>
      </c>
      <c r="G321" t="inlineStr">
        <is>
          <t>VÄRNAMO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58785-2025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46220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58902-2025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46220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58828-2025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45987</v>
      </c>
      <c r="E324" s="1" t="n">
        <v>46220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58784-2025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46220</v>
      </c>
      <c r="F325" t="inlineStr">
        <is>
          <t>JÖNKÖPINGS LÄN</t>
        </is>
      </c>
      <c r="G325" t="inlineStr">
        <is>
          <t>VÄRNAMO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59459-2025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46220</v>
      </c>
      <c r="F326" t="inlineStr">
        <is>
          <t>JÖNKÖPINGS LÄN</t>
        </is>
      </c>
      <c r="G326" t="inlineStr">
        <is>
          <t>VÄRNAMO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8169-2026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46220</v>
      </c>
      <c r="F327" t="inlineStr">
        <is>
          <t>JÖNKÖPINGS LÄN</t>
        </is>
      </c>
      <c r="G327" t="inlineStr">
        <is>
          <t>VÄRNAMO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8252-2026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46220</v>
      </c>
      <c r="F328" t="inlineStr">
        <is>
          <t>JÖNKÖPINGS LÄN</t>
        </is>
      </c>
      <c r="G328" t="inlineStr">
        <is>
          <t>VÄRNAMO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59881-2025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46220</v>
      </c>
      <c r="F329" t="inlineStr">
        <is>
          <t>JÖNKÖPINGS LÄN</t>
        </is>
      </c>
      <c r="G329" t="inlineStr">
        <is>
          <t>VÄRNAMO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46220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32879-2023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45124</v>
      </c>
      <c r="E331" s="1" t="n">
        <v>46220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20316-2023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45056</v>
      </c>
      <c r="E332" s="1" t="n">
        <v>46220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60481-2025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46220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54519-2021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44473</v>
      </c>
      <c r="E334" s="1" t="n">
        <v>46220</v>
      </c>
      <c r="F334" t="inlineStr">
        <is>
          <t>JÖNKÖPINGS LÄN</t>
        </is>
      </c>
      <c r="G334" t="inlineStr">
        <is>
          <t>VÄRNAMO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6673-2023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46220</v>
      </c>
      <c r="F335" t="inlineStr">
        <is>
          <t>JÖNKÖPINGS LÄN</t>
        </is>
      </c>
      <c r="G335" t="inlineStr">
        <is>
          <t>VÄRNAMO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8772-2026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46220</v>
      </c>
      <c r="F336" t="inlineStr">
        <is>
          <t>JÖNKÖPINGS LÄN</t>
        </is>
      </c>
      <c r="G336" t="inlineStr">
        <is>
          <t>VÄRNAMO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63443-2023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46220</v>
      </c>
      <c r="F337" t="inlineStr">
        <is>
          <t>JÖNKÖPINGS LÄN</t>
        </is>
      </c>
      <c r="G337" t="inlineStr">
        <is>
          <t>VÄRNAMO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61931-2025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46220</v>
      </c>
      <c r="F338" t="inlineStr">
        <is>
          <t>JÖNKÖPINGS LÄN</t>
        </is>
      </c>
      <c r="G338" t="inlineStr">
        <is>
          <t>VÄRNAMO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61562-2025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46220</v>
      </c>
      <c r="F339" t="inlineStr">
        <is>
          <t>JÖNKÖPINGS LÄN</t>
        </is>
      </c>
      <c r="G339" t="inlineStr">
        <is>
          <t>VÄRNAMO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61565-2025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46220</v>
      </c>
      <c r="F340" t="inlineStr">
        <is>
          <t>JÖNKÖPINGS LÄN</t>
        </is>
      </c>
      <c r="G340" t="inlineStr">
        <is>
          <t>VÄRNAMO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53131-2023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45229</v>
      </c>
      <c r="E341" s="1" t="n">
        <v>46220</v>
      </c>
      <c r="F341" t="inlineStr">
        <is>
          <t>JÖNKÖPINGS LÄN</t>
        </is>
      </c>
      <c r="G341" t="inlineStr">
        <is>
          <t>VÄRNAMO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62463-2025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46220</v>
      </c>
      <c r="F342" t="inlineStr">
        <is>
          <t>JÖNKÖPINGS LÄN</t>
        </is>
      </c>
      <c r="G342" t="inlineStr">
        <is>
          <t>VÄRNAMO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62178-2025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46220</v>
      </c>
      <c r="F343" t="inlineStr">
        <is>
          <t>JÖNKÖPINGS LÄN</t>
        </is>
      </c>
      <c r="G343" t="inlineStr">
        <is>
          <t>VÄRNAMO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46220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62302-2025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46220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62462-2025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46220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51430-2021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44461</v>
      </c>
      <c r="E347" s="1" t="n">
        <v>46220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36410-2023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46220</v>
      </c>
      <c r="F348" t="inlineStr">
        <is>
          <t>JÖNKÖPINGS LÄN</t>
        </is>
      </c>
      <c r="G348" t="inlineStr">
        <is>
          <t>VÄRNAMO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62655-2025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46220</v>
      </c>
      <c r="F349" t="inlineStr">
        <is>
          <t>JÖNKÖPINGS LÄN</t>
        </is>
      </c>
      <c r="G349" t="inlineStr">
        <is>
          <t>VÄRNAMO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44931</v>
      </c>
      <c r="E350" s="1" t="n">
        <v>46220</v>
      </c>
      <c r="F350" t="inlineStr">
        <is>
          <t>JÖNKÖPINGS LÄN</t>
        </is>
      </c>
      <c r="G350" t="inlineStr">
        <is>
          <t>VÄRNAMO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45684</v>
      </c>
      <c r="E351" s="1" t="n">
        <v>46220</v>
      </c>
      <c r="F351" t="inlineStr">
        <is>
          <t>JÖNKÖPINGS LÄN</t>
        </is>
      </c>
      <c r="G351" t="inlineStr">
        <is>
          <t>VÄRNAMO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9972-2026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46220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9975-2026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46220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18801-2023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45044</v>
      </c>
      <c r="E354" s="1" t="n">
        <v>46220</v>
      </c>
      <c r="F354" t="inlineStr">
        <is>
          <t>JÖNKÖPINGS LÄN</t>
        </is>
      </c>
      <c r="G354" t="inlineStr">
        <is>
          <t>VÄRNAMO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10030-2026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46220</v>
      </c>
      <c r="F355" t="inlineStr">
        <is>
          <t>JÖNKÖPINGS LÄN</t>
        </is>
      </c>
      <c r="G355" t="inlineStr">
        <is>
          <t>VÄRNAMO</t>
        </is>
      </c>
      <c r="H355" t="inlineStr">
        <is>
          <t>Sveaskog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55749-2023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46220</v>
      </c>
      <c r="F356" t="inlineStr">
        <is>
          <t>JÖNKÖPINGS LÄN</t>
        </is>
      </c>
      <c r="G356" t="inlineStr">
        <is>
          <t>VÄRNAMO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9983-2026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46220</v>
      </c>
      <c r="F357" t="inlineStr">
        <is>
          <t>JÖNKÖPINGS LÄN</t>
        </is>
      </c>
      <c r="G357" t="inlineStr">
        <is>
          <t>VÄRNAMO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9970-2026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46073</v>
      </c>
      <c r="E358" s="1" t="n">
        <v>46220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9974-2026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46220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10031-2026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46220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63235-2025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46010</v>
      </c>
      <c r="E361" s="1" t="n">
        <v>46220</v>
      </c>
      <c r="F361" t="inlineStr">
        <is>
          <t>JÖNKÖPINGS LÄN</t>
        </is>
      </c>
      <c r="G361" t="inlineStr">
        <is>
          <t>VÄRNAMO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46220</v>
      </c>
      <c r="F362" t="inlineStr">
        <is>
          <t>JÖNKÖPINGS LÄN</t>
        </is>
      </c>
      <c r="G362" t="inlineStr">
        <is>
          <t>VÄRNAMO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10758-2026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46220</v>
      </c>
      <c r="F363" t="inlineStr">
        <is>
          <t>JÖNKÖPINGS LÄN</t>
        </is>
      </c>
      <c r="G363" t="inlineStr">
        <is>
          <t>VÄRNAMO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46220</v>
      </c>
      <c r="F364" t="inlineStr">
        <is>
          <t>JÖNKÖPINGS LÄN</t>
        </is>
      </c>
      <c r="G364" t="inlineStr">
        <is>
          <t>VÄRNAMO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60988-2023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45261</v>
      </c>
      <c r="E365" s="1" t="n">
        <v>46220</v>
      </c>
      <c r="F365" t="inlineStr">
        <is>
          <t>JÖNKÖPINGS LÄN</t>
        </is>
      </c>
      <c r="G365" t="inlineStr">
        <is>
          <t>VÄRNAMO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46080</v>
      </c>
      <c r="E366" s="1" t="n">
        <v>46220</v>
      </c>
      <c r="F366" t="inlineStr">
        <is>
          <t>JÖNKÖPINGS LÄN</t>
        </is>
      </c>
      <c r="G366" t="inlineStr">
        <is>
          <t>VÄRNAMO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11267-2026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46220</v>
      </c>
      <c r="F367" t="inlineStr">
        <is>
          <t>JÖNKÖPINGS LÄN</t>
        </is>
      </c>
      <c r="G367" t="inlineStr">
        <is>
          <t>VÄRNAMO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11015-2026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46220</v>
      </c>
      <c r="F368" t="inlineStr">
        <is>
          <t>JÖNKÖPINGS LÄN</t>
        </is>
      </c>
      <c r="G368" t="inlineStr">
        <is>
          <t>VÄRNAMO</t>
        </is>
      </c>
      <c r="H368" t="inlineStr">
        <is>
          <t>Kommuner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44993</v>
      </c>
      <c r="E369" s="1" t="n">
        <v>46220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11258-2026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46080</v>
      </c>
      <c r="E370" s="1" t="n">
        <v>46220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46676-2021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44445</v>
      </c>
      <c r="E371" s="1" t="n">
        <v>46220</v>
      </c>
      <c r="F371" t="inlineStr">
        <is>
          <t>JÖNKÖPINGS LÄN</t>
        </is>
      </c>
      <c r="G371" t="inlineStr">
        <is>
          <t>VÄRNAMO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54477-2022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44882</v>
      </c>
      <c r="E372" s="1" t="n">
        <v>46220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12095-2026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46086</v>
      </c>
      <c r="E373" s="1" t="n">
        <v>46220</v>
      </c>
      <c r="F373" t="inlineStr">
        <is>
          <t>JÖNKÖPINGS LÄN</t>
        </is>
      </c>
      <c r="G373" t="inlineStr">
        <is>
          <t>VÄRNAMO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30617-2023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45112</v>
      </c>
      <c r="E374" s="1" t="n">
        <v>46220</v>
      </c>
      <c r="F374" t="inlineStr">
        <is>
          <t>JÖNKÖPINGS LÄN</t>
        </is>
      </c>
      <c r="G374" t="inlineStr">
        <is>
          <t>VÄRNAMO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46220</v>
      </c>
      <c r="F375" t="inlineStr">
        <is>
          <t>JÖNKÖPINGS LÄN</t>
        </is>
      </c>
      <c r="G375" t="inlineStr">
        <is>
          <t>VÄRNAMO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9038-2025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46220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29089-2023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45105</v>
      </c>
      <c r="E377" s="1" t="n">
        <v>46220</v>
      </c>
      <c r="F377" t="inlineStr">
        <is>
          <t>JÖNKÖPINGS LÄN</t>
        </is>
      </c>
      <c r="G377" t="inlineStr">
        <is>
          <t>VÄRNAMO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29090-2023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45105</v>
      </c>
      <c r="E378" s="1" t="n">
        <v>46220</v>
      </c>
      <c r="F378" t="inlineStr">
        <is>
          <t>JÖNKÖPINGS LÄN</t>
        </is>
      </c>
      <c r="G378" t="inlineStr">
        <is>
          <t>VÄRNAMO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18600-2023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45043</v>
      </c>
      <c r="E379" s="1" t="n">
        <v>46220</v>
      </c>
      <c r="F379" t="inlineStr">
        <is>
          <t>JÖNKÖPINGS LÄN</t>
        </is>
      </c>
      <c r="G379" t="inlineStr">
        <is>
          <t>VÄRNAMO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11382-2024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46220</v>
      </c>
      <c r="F380" t="inlineStr">
        <is>
          <t>JÖNKÖPINGS LÄN</t>
        </is>
      </c>
      <c r="G380" t="inlineStr">
        <is>
          <t>VÄRNAMO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15248-2024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45400</v>
      </c>
      <c r="E381" s="1" t="n">
        <v>46220</v>
      </c>
      <c r="F381" t="inlineStr">
        <is>
          <t>JÖNKÖPINGS LÄN</t>
        </is>
      </c>
      <c r="G381" t="inlineStr">
        <is>
          <t>VÄRNAMO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13008-2026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46220</v>
      </c>
      <c r="F382" t="inlineStr">
        <is>
          <t>JÖNKÖPINGS LÄN</t>
        </is>
      </c>
      <c r="G382" t="inlineStr">
        <is>
          <t>VÄRNAMO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51474-2023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45221</v>
      </c>
      <c r="E383" s="1" t="n">
        <v>46220</v>
      </c>
      <c r="F383" t="inlineStr">
        <is>
          <t>JÖNKÖPINGS LÄN</t>
        </is>
      </c>
      <c r="G383" t="inlineStr">
        <is>
          <t>VÄRNAMO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13284-2026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46220</v>
      </c>
      <c r="F384" t="inlineStr">
        <is>
          <t>JÖNKÖPINGS LÄN</t>
        </is>
      </c>
      <c r="G384" t="inlineStr">
        <is>
          <t>VÄRNAMO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60097-2024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46220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7130-2023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46220</v>
      </c>
      <c r="F386" t="inlineStr">
        <is>
          <t>JÖNKÖPINGS LÄN</t>
        </is>
      </c>
      <c r="G386" t="inlineStr">
        <is>
          <t>VÄRNAMO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63027-2023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45272</v>
      </c>
      <c r="E387" s="1" t="n">
        <v>46220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10682-2024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45369</v>
      </c>
      <c r="E388" s="1" t="n">
        <v>46220</v>
      </c>
      <c r="F388" t="inlineStr">
        <is>
          <t>JÖNKÖPINGS LÄN</t>
        </is>
      </c>
      <c r="G388" t="inlineStr">
        <is>
          <t>VÄRNAMO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12306-2023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46220</v>
      </c>
      <c r="F389" t="inlineStr">
        <is>
          <t>JÖNKÖPINGS LÄN</t>
        </is>
      </c>
      <c r="G389" t="inlineStr">
        <is>
          <t>VÄRNAMO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14162-2026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46220</v>
      </c>
      <c r="F390" t="inlineStr">
        <is>
          <t>JÖNKÖPINGS LÄN</t>
        </is>
      </c>
      <c r="G390" t="inlineStr">
        <is>
          <t>VÄRNAMO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14246-2026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46220</v>
      </c>
      <c r="F391" t="inlineStr">
        <is>
          <t>JÖNKÖPINGS LÄN</t>
        </is>
      </c>
      <c r="G391" t="inlineStr">
        <is>
          <t>VÄRNAMO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7727-2022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46220</v>
      </c>
      <c r="F392" t="inlineStr">
        <is>
          <t>JÖNKÖPINGS LÄN</t>
        </is>
      </c>
      <c r="G392" t="inlineStr">
        <is>
          <t>VÄRNAMO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14698-2026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46101</v>
      </c>
      <c r="E393" s="1" t="n">
        <v>46220</v>
      </c>
      <c r="F393" t="inlineStr">
        <is>
          <t>JÖNKÖPINGS LÄN</t>
        </is>
      </c>
      <c r="G393" t="inlineStr">
        <is>
          <t>VÄRNAMO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15127-2026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46220</v>
      </c>
      <c r="F394" t="inlineStr">
        <is>
          <t>JÖNKÖPINGS LÄN</t>
        </is>
      </c>
      <c r="G394" t="inlineStr">
        <is>
          <t>VÄRNAMO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15130-2026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46220</v>
      </c>
      <c r="F395" t="inlineStr">
        <is>
          <t>JÖNKÖPINGS LÄN</t>
        </is>
      </c>
      <c r="G395" t="inlineStr">
        <is>
          <t>VÄRNAMO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22296-2024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45446</v>
      </c>
      <c r="E396" s="1" t="n">
        <v>46220</v>
      </c>
      <c r="F396" t="inlineStr">
        <is>
          <t>JÖNKÖPINGS LÄN</t>
        </is>
      </c>
      <c r="G396" t="inlineStr">
        <is>
          <t>VÄRNAMO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8968-2024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45357</v>
      </c>
      <c r="E397" s="1" t="n">
        <v>46220</v>
      </c>
      <c r="F397" t="inlineStr">
        <is>
          <t>JÖNKÖPINGS LÄN</t>
        </is>
      </c>
      <c r="G397" t="inlineStr">
        <is>
          <t>VÄRNAMO</t>
        </is>
      </c>
      <c r="H397" t="inlineStr">
        <is>
          <t>Sveaskog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12892-2022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44642</v>
      </c>
      <c r="E398" s="1" t="n">
        <v>46220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17220-2025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45756</v>
      </c>
      <c r="E399" s="1" t="n">
        <v>46220</v>
      </c>
      <c r="F399" t="inlineStr">
        <is>
          <t>JÖNKÖPINGS LÄN</t>
        </is>
      </c>
      <c r="G399" t="inlineStr">
        <is>
          <t>VÄRNAMO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18735-2025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46220</v>
      </c>
      <c r="F400" t="inlineStr">
        <is>
          <t>JÖNKÖPINGS LÄN</t>
        </is>
      </c>
      <c r="G400" t="inlineStr">
        <is>
          <t>VÄRNAMO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30712-2024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45496</v>
      </c>
      <c r="E401" s="1" t="n">
        <v>46220</v>
      </c>
      <c r="F401" t="inlineStr">
        <is>
          <t>JÖNKÖPINGS LÄN</t>
        </is>
      </c>
      <c r="G401" t="inlineStr">
        <is>
          <t>VÄRNAMO</t>
        </is>
      </c>
      <c r="H401" t="inlineStr">
        <is>
          <t>Kommuner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61321-2023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46220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15101-2026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46101</v>
      </c>
      <c r="E403" s="1" t="n">
        <v>46220</v>
      </c>
      <c r="F403" t="inlineStr">
        <is>
          <t>JÖNKÖPINGS LÄN</t>
        </is>
      </c>
      <c r="G403" t="inlineStr">
        <is>
          <t>VÄRNAMO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9992-2023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46220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15630-2023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45021</v>
      </c>
      <c r="E405" s="1" t="n">
        <v>46220</v>
      </c>
      <c r="F405" t="inlineStr">
        <is>
          <t>JÖNKÖPINGS LÄN</t>
        </is>
      </c>
      <c r="G405" t="inlineStr">
        <is>
          <t>VÄRNAMO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15536-2024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45401</v>
      </c>
      <c r="E406" s="1" t="n">
        <v>46220</v>
      </c>
      <c r="F406" t="inlineStr">
        <is>
          <t>JÖNKÖPINGS LÄN</t>
        </is>
      </c>
      <c r="G406" t="inlineStr">
        <is>
          <t>VÄRNAMO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74102-2021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44557</v>
      </c>
      <c r="E407" s="1" t="n">
        <v>46220</v>
      </c>
      <c r="F407" t="inlineStr">
        <is>
          <t>JÖNKÖPINGS LÄN</t>
        </is>
      </c>
      <c r="G407" t="inlineStr">
        <is>
          <t>VÄRNAMO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63915-2023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46220</v>
      </c>
      <c r="F408" t="inlineStr">
        <is>
          <t>JÖNKÖPINGS LÄN</t>
        </is>
      </c>
      <c r="G408" t="inlineStr">
        <is>
          <t>VÄRNAMO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54254-2021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44470</v>
      </c>
      <c r="E409" s="1" t="n">
        <v>46220</v>
      </c>
      <c r="F409" t="inlineStr">
        <is>
          <t>JÖNKÖPINGS LÄN</t>
        </is>
      </c>
      <c r="G409" t="inlineStr">
        <is>
          <t>VÄRNAMO</t>
        </is>
      </c>
      <c r="H409" t="inlineStr">
        <is>
          <t>Övriga Aktiebolag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16445-2023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46220</v>
      </c>
      <c r="F410" t="inlineStr">
        <is>
          <t>JÖNKÖPINGS LÄN</t>
        </is>
      </c>
      <c r="G410" t="inlineStr">
        <is>
          <t>VÄRNAMO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71233-2021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44539</v>
      </c>
      <c r="E411" s="1" t="n">
        <v>46220</v>
      </c>
      <c r="F411" t="inlineStr">
        <is>
          <t>JÖNKÖPINGS LÄN</t>
        </is>
      </c>
      <c r="G411" t="inlineStr">
        <is>
          <t>VÄRNAMO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37899-2023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45160</v>
      </c>
      <c r="E412" s="1" t="n">
        <v>46220</v>
      </c>
      <c r="F412" t="inlineStr">
        <is>
          <t>JÖNKÖPINGS LÄN</t>
        </is>
      </c>
      <c r="G412" t="inlineStr">
        <is>
          <t>VÄRNAMO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45687</v>
      </c>
      <c r="E413" s="1" t="n">
        <v>46220</v>
      </c>
      <c r="F413" t="inlineStr">
        <is>
          <t>JÖNKÖPINGS LÄN</t>
        </is>
      </c>
      <c r="G413" t="inlineStr">
        <is>
          <t>VÄRNAMO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44928</v>
      </c>
      <c r="E414" s="1" t="n">
        <v>46220</v>
      </c>
      <c r="F414" t="inlineStr">
        <is>
          <t>JÖNKÖPINGS LÄN</t>
        </is>
      </c>
      <c r="G414" t="inlineStr">
        <is>
          <t>VÄRNAMO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51893-2024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46220</v>
      </c>
      <c r="F415" t="inlineStr">
        <is>
          <t>JÖNKÖPINGS LÄN</t>
        </is>
      </c>
      <c r="G415" t="inlineStr">
        <is>
          <t>VÄRNAMO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18441-2026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46127</v>
      </c>
      <c r="E416" s="1" t="n">
        <v>46220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18509-2026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46127</v>
      </c>
      <c r="E417" s="1" t="n">
        <v>46220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46127</v>
      </c>
      <c r="E418" s="1" t="n">
        <v>46220</v>
      </c>
      <c r="F418" t="inlineStr">
        <is>
          <t>JÖNKÖPINGS LÄN</t>
        </is>
      </c>
      <c r="G418" t="inlineStr">
        <is>
          <t>VÄRNAMO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52104-2024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46220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40779-2024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46220</v>
      </c>
      <c r="F420" t="inlineStr">
        <is>
          <t>JÖNKÖPINGS LÄN</t>
        </is>
      </c>
      <c r="G420" t="inlineStr">
        <is>
          <t>VÄRNAMO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55606-2024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45622</v>
      </c>
      <c r="E421" s="1" t="n">
        <v>46220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7298-2023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46220</v>
      </c>
      <c r="F422" t="inlineStr">
        <is>
          <t>JÖNKÖPINGS LÄN</t>
        </is>
      </c>
      <c r="G422" t="inlineStr">
        <is>
          <t>VÄRNAMO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46863-2023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45200</v>
      </c>
      <c r="E423" s="1" t="n">
        <v>46220</v>
      </c>
      <c r="F423" t="inlineStr">
        <is>
          <t>JÖNKÖPINGS LÄN</t>
        </is>
      </c>
      <c r="G423" t="inlineStr">
        <is>
          <t>VÄRNAMO</t>
        </is>
      </c>
      <c r="H423" t="inlineStr">
        <is>
          <t>Övriga Aktiebolag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29459-2023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46220</v>
      </c>
      <c r="F424" t="inlineStr">
        <is>
          <t>JÖNKÖPINGS LÄN</t>
        </is>
      </c>
      <c r="G424" t="inlineStr">
        <is>
          <t>VÄRNAMO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18434-2022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44686</v>
      </c>
      <c r="E425" s="1" t="n">
        <v>46220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46220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17328-2024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45414</v>
      </c>
      <c r="E427" s="1" t="n">
        <v>46220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43782-2025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46220</v>
      </c>
      <c r="F428" t="inlineStr">
        <is>
          <t>JÖNKÖPINGS LÄN</t>
        </is>
      </c>
      <c r="G428" t="inlineStr">
        <is>
          <t>VÄRNAMO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63430-2023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45274</v>
      </c>
      <c r="E429" s="1" t="n">
        <v>46220</v>
      </c>
      <c r="F429" t="inlineStr">
        <is>
          <t>JÖNKÖPINGS LÄN</t>
        </is>
      </c>
      <c r="G429" t="inlineStr">
        <is>
          <t>VÄRNAMO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35120-2022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44797</v>
      </c>
      <c r="E430" s="1" t="n">
        <v>46220</v>
      </c>
      <c r="F430" t="inlineStr">
        <is>
          <t>JÖNKÖPINGS LÄN</t>
        </is>
      </c>
      <c r="G430" t="inlineStr">
        <is>
          <t>VÄRNAMO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1246-2024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45302</v>
      </c>
      <c r="E431" s="1" t="n">
        <v>46220</v>
      </c>
      <c r="F431" t="inlineStr">
        <is>
          <t>JÖNKÖPINGS LÄN</t>
        </is>
      </c>
      <c r="G431" t="inlineStr">
        <is>
          <t>VÄRNAMO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48040-2024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46220</v>
      </c>
      <c r="F432" t="inlineStr">
        <is>
          <t>JÖNKÖPINGS LÄN</t>
        </is>
      </c>
      <c r="G432" t="inlineStr">
        <is>
          <t>VÄRNAMO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7070-2025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45701</v>
      </c>
      <c r="E433" s="1" t="n">
        <v>46220</v>
      </c>
      <c r="F433" t="inlineStr">
        <is>
          <t>JÖNKÖPINGS LÄN</t>
        </is>
      </c>
      <c r="G433" t="inlineStr">
        <is>
          <t>VÄRNAMO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31429-2024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45505</v>
      </c>
      <c r="E434" s="1" t="n">
        <v>46220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33407-2024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46220</v>
      </c>
      <c r="F435" t="inlineStr">
        <is>
          <t>JÖNKÖPINGS LÄN</t>
        </is>
      </c>
      <c r="G435" t="inlineStr">
        <is>
          <t>VÄRNAMO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62232-2023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46220</v>
      </c>
      <c r="F436" t="inlineStr">
        <is>
          <t>JÖNKÖPINGS LÄN</t>
        </is>
      </c>
      <c r="G436" t="inlineStr">
        <is>
          <t>VÄRNAMO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47822-2023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46220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61345-2023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46220</v>
      </c>
      <c r="F438" t="inlineStr">
        <is>
          <t>JÖNKÖPINGS LÄN</t>
        </is>
      </c>
      <c r="G438" t="inlineStr">
        <is>
          <t>VÄRNAMO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13861-2023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45007</v>
      </c>
      <c r="E439" s="1" t="n">
        <v>46220</v>
      </c>
      <c r="F439" t="inlineStr">
        <is>
          <t>JÖNKÖPINGS LÄN</t>
        </is>
      </c>
      <c r="G439" t="inlineStr">
        <is>
          <t>VÄRNAMO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37083-2023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46220</v>
      </c>
      <c r="F440" t="inlineStr">
        <is>
          <t>JÖNKÖPINGS LÄN</t>
        </is>
      </c>
      <c r="G440" t="inlineStr">
        <is>
          <t>VÄRNAMO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21874-2024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45443</v>
      </c>
      <c r="E441" s="1" t="n">
        <v>46220</v>
      </c>
      <c r="F441" t="inlineStr">
        <is>
          <t>JÖNKÖPINGS LÄN</t>
        </is>
      </c>
      <c r="G441" t="inlineStr">
        <is>
          <t>VÄRNAMO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29471-2023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46220</v>
      </c>
      <c r="F442" t="inlineStr">
        <is>
          <t>JÖNKÖPINGS LÄN</t>
        </is>
      </c>
      <c r="G442" t="inlineStr">
        <is>
          <t>VÄRNAMO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11206-2025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46220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52883-2025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45957</v>
      </c>
      <c r="E444" s="1" t="n">
        <v>46220</v>
      </c>
      <c r="F444" t="inlineStr">
        <is>
          <t>JÖNKÖPINGS LÄN</t>
        </is>
      </c>
      <c r="G444" t="inlineStr">
        <is>
          <t>VÄRNAMO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1158-2024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45302</v>
      </c>
      <c r="E445" s="1" t="n">
        <v>46220</v>
      </c>
      <c r="F445" t="inlineStr">
        <is>
          <t>JÖNKÖPINGS LÄN</t>
        </is>
      </c>
      <c r="G445" t="inlineStr">
        <is>
          <t>VÄRNAMO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17704-2025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46220</v>
      </c>
      <c r="F446" t="inlineStr">
        <is>
          <t>JÖNKÖPINGS LÄN</t>
        </is>
      </c>
      <c r="G446" t="inlineStr">
        <is>
          <t>VÄRNAMO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14353-2022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44652</v>
      </c>
      <c r="E447" s="1" t="n">
        <v>46220</v>
      </c>
      <c r="F447" t="inlineStr">
        <is>
          <t>JÖNKÖPINGS LÄN</t>
        </is>
      </c>
      <c r="G447" t="inlineStr">
        <is>
          <t>VÄRNAMO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22855-2023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45072</v>
      </c>
      <c r="E448" s="1" t="n">
        <v>46220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62794-2023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46220</v>
      </c>
      <c r="F449" t="inlineStr">
        <is>
          <t>JÖNKÖPINGS LÄN</t>
        </is>
      </c>
      <c r="G449" t="inlineStr">
        <is>
          <t>VÄRNAMO</t>
        </is>
      </c>
      <c r="H449" t="inlineStr">
        <is>
          <t>Kommuner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38484-2023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46220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38501-2023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46220</v>
      </c>
      <c r="F451" t="inlineStr">
        <is>
          <t>JÖNKÖPINGS LÄN</t>
        </is>
      </c>
      <c r="G451" t="inlineStr">
        <is>
          <t>VÄRNAMO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44721-2025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45917</v>
      </c>
      <c r="E452" s="1" t="n">
        <v>46220</v>
      </c>
      <c r="F452" t="inlineStr">
        <is>
          <t>JÖNKÖPINGS LÄN</t>
        </is>
      </c>
      <c r="G452" t="inlineStr">
        <is>
          <t>VÄRNAMO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54704-2025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46220</v>
      </c>
      <c r="F453" t="inlineStr">
        <is>
          <t>JÖNKÖPINGS LÄN</t>
        </is>
      </c>
      <c r="G453" t="inlineStr">
        <is>
          <t>VÄRNAMO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39452-2025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45889</v>
      </c>
      <c r="E454" s="1" t="n">
        <v>46220</v>
      </c>
      <c r="F454" t="inlineStr">
        <is>
          <t>JÖNKÖPINGS LÄN</t>
        </is>
      </c>
      <c r="G454" t="inlineStr">
        <is>
          <t>VÄRNAMO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20249-2026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46220</v>
      </c>
      <c r="F455" t="inlineStr">
        <is>
          <t>JÖNKÖPINGS LÄN</t>
        </is>
      </c>
      <c r="G455" t="inlineStr">
        <is>
          <t>VÄRNAMO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19250-2025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46220</v>
      </c>
      <c r="F456" t="inlineStr">
        <is>
          <t>JÖNKÖPINGS LÄN</t>
        </is>
      </c>
      <c r="G456" t="inlineStr">
        <is>
          <t>VÄRNAMO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43162-2024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45567</v>
      </c>
      <c r="E457" s="1" t="n">
        <v>46220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36724-2025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46220</v>
      </c>
      <c r="F458" t="inlineStr">
        <is>
          <t>JÖNKÖPINGS LÄN</t>
        </is>
      </c>
      <c r="G458" t="inlineStr">
        <is>
          <t>VÄRNAMO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42475-2025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46220</v>
      </c>
      <c r="F459" t="inlineStr">
        <is>
          <t>JÖNKÖPINGS LÄN</t>
        </is>
      </c>
      <c r="G459" t="inlineStr">
        <is>
          <t>VÄRNAMO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47921-2023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46220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27888-2024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46220</v>
      </c>
      <c r="F461" t="inlineStr">
        <is>
          <t>JÖNKÖPINGS LÄN</t>
        </is>
      </c>
      <c r="G461" t="inlineStr">
        <is>
          <t>VÄRNAMO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45841</v>
      </c>
      <c r="E462" s="1" t="n">
        <v>46220</v>
      </c>
      <c r="F462" t="inlineStr">
        <is>
          <t>JÖNKÖPINGS LÄN</t>
        </is>
      </c>
      <c r="G462" t="inlineStr">
        <is>
          <t>VÄRNAMO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27527-2024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45474</v>
      </c>
      <c r="E463" s="1" t="n">
        <v>46220</v>
      </c>
      <c r="F463" t="inlineStr">
        <is>
          <t>JÖNKÖPINGS LÄN</t>
        </is>
      </c>
      <c r="G463" t="inlineStr">
        <is>
          <t>VÄRNAMO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11723-2023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46220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33315-2025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45841</v>
      </c>
      <c r="E465" s="1" t="n">
        <v>46220</v>
      </c>
      <c r="F465" t="inlineStr">
        <is>
          <t>JÖNKÖPINGS LÄN</t>
        </is>
      </c>
      <c r="G465" t="inlineStr">
        <is>
          <t>VÄRNAMO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22086-2025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45785</v>
      </c>
      <c r="E466" s="1" t="n">
        <v>46220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48615-2025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45936</v>
      </c>
      <c r="E467" s="1" t="n">
        <v>46220</v>
      </c>
      <c r="F467" t="inlineStr">
        <is>
          <t>JÖNKÖPINGS LÄN</t>
        </is>
      </c>
      <c r="G467" t="inlineStr">
        <is>
          <t>VÄRNAMO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27415-2025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45812</v>
      </c>
      <c r="E468" s="1" t="n">
        <v>46220</v>
      </c>
      <c r="F468" t="inlineStr">
        <is>
          <t>JÖNKÖPINGS LÄN</t>
        </is>
      </c>
      <c r="G468" t="inlineStr">
        <is>
          <t>VÄRNAMO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45509</v>
      </c>
      <c r="E469" s="1" t="n">
        <v>46220</v>
      </c>
      <c r="F469" t="inlineStr">
        <is>
          <t>JÖNKÖPINGS LÄN</t>
        </is>
      </c>
      <c r="G469" t="inlineStr">
        <is>
          <t>VÄRNAMO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26547-2026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46220</v>
      </c>
      <c r="F470" t="inlineStr">
        <is>
          <t>JÖNKÖPINGS LÄN</t>
        </is>
      </c>
      <c r="G470" t="inlineStr">
        <is>
          <t>VÄRNAMO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45308</v>
      </c>
      <c r="E471" s="1" t="n">
        <v>46220</v>
      </c>
      <c r="F471" t="inlineStr">
        <is>
          <t>JÖNKÖPINGS LÄN</t>
        </is>
      </c>
      <c r="G471" t="inlineStr">
        <is>
          <t>VÄRNAMO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33369-2025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45841</v>
      </c>
      <c r="E472" s="1" t="n">
        <v>46220</v>
      </c>
      <c r="F472" t="inlineStr">
        <is>
          <t>JÖNKÖPINGS LÄN</t>
        </is>
      </c>
      <c r="G472" t="inlineStr">
        <is>
          <t>VÄRNAMO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29162-2023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45105</v>
      </c>
      <c r="E473" s="1" t="n">
        <v>46220</v>
      </c>
      <c r="F473" t="inlineStr">
        <is>
          <t>JÖNKÖPINGS LÄN</t>
        </is>
      </c>
      <c r="G473" t="inlineStr">
        <is>
          <t>VÄRNAMO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29168-2023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45105</v>
      </c>
      <c r="E474" s="1" t="n">
        <v>46220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57858-2024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46220</v>
      </c>
      <c r="F475" t="inlineStr">
        <is>
          <t>JÖNKÖPINGS LÄN</t>
        </is>
      </c>
      <c r="G475" t="inlineStr">
        <is>
          <t>VÄRNAMO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46220</v>
      </c>
      <c r="F476" t="inlineStr">
        <is>
          <t>JÖNKÖPINGS LÄN</t>
        </is>
      </c>
      <c r="G476" t="inlineStr">
        <is>
          <t>VÄRNAMO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14439-2023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45012</v>
      </c>
      <c r="E477" s="1" t="n">
        <v>46220</v>
      </c>
      <c r="F477" t="inlineStr">
        <is>
          <t>JÖNKÖPINGS LÄN</t>
        </is>
      </c>
      <c r="G477" t="inlineStr">
        <is>
          <t>VÄRNAMO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31793-2024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45509</v>
      </c>
      <c r="E478" s="1" t="n">
        <v>46220</v>
      </c>
      <c r="F478" t="inlineStr">
        <is>
          <t>JÖNKÖPINGS LÄN</t>
        </is>
      </c>
      <c r="G478" t="inlineStr">
        <is>
          <t>VÄRNAMO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37293-2025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45876</v>
      </c>
      <c r="E479" s="1" t="n">
        <v>46220</v>
      </c>
      <c r="F479" t="inlineStr">
        <is>
          <t>JÖNKÖPINGS LÄN</t>
        </is>
      </c>
      <c r="G479" t="inlineStr">
        <is>
          <t>VÄRNAMO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23922-2023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45078</v>
      </c>
      <c r="E480" s="1" t="n">
        <v>46220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30345-2025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45827</v>
      </c>
      <c r="E481" s="1" t="n">
        <v>46220</v>
      </c>
      <c r="F481" t="inlineStr">
        <is>
          <t>JÖNKÖPINGS LÄN</t>
        </is>
      </c>
      <c r="G481" t="inlineStr">
        <is>
          <t>VÄRNAMO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8913-2024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45357</v>
      </c>
      <c r="E482" s="1" t="n">
        <v>46220</v>
      </c>
      <c r="F482" t="inlineStr">
        <is>
          <t>JÖNKÖPINGS LÄN</t>
        </is>
      </c>
      <c r="G482" t="inlineStr">
        <is>
          <t>VÄRNAMO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22073-2023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46220</v>
      </c>
      <c r="F483" t="inlineStr">
        <is>
          <t>JÖNKÖPINGS LÄN</t>
        </is>
      </c>
      <c r="G483" t="inlineStr">
        <is>
          <t>VÄRNAMO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45763</v>
      </c>
      <c r="E484" s="1" t="n">
        <v>46220</v>
      </c>
      <c r="F484" t="inlineStr">
        <is>
          <t>JÖNKÖPINGS LÄN</t>
        </is>
      </c>
      <c r="G484" t="inlineStr">
        <is>
          <t>VÄRNAMO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26222-2026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46220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45824-2022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44846</v>
      </c>
      <c r="E486" s="1" t="n">
        <v>46220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33048-2024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45517</v>
      </c>
      <c r="E487" s="1" t="n">
        <v>46220</v>
      </c>
      <c r="F487" t="inlineStr">
        <is>
          <t>JÖNKÖPINGS LÄN</t>
        </is>
      </c>
      <c r="G487" t="inlineStr">
        <is>
          <t>VÄRNAMO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9040-2025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46220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15122-2026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46220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68171-2021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44526</v>
      </c>
      <c r="E490" s="1" t="n">
        <v>46220</v>
      </c>
      <c r="F490" t="inlineStr">
        <is>
          <t>JÖNKÖPINGS LÄN</t>
        </is>
      </c>
      <c r="G490" t="inlineStr">
        <is>
          <t>VÄRNAMO</t>
        </is>
      </c>
      <c r="H490" t="inlineStr">
        <is>
          <t>Kommuner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11210-2024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45371</v>
      </c>
      <c r="E491" s="1" t="n">
        <v>46220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55373-2023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45238</v>
      </c>
      <c r="E492" s="1" t="n">
        <v>46220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10.6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26691-2026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46220</v>
      </c>
      <c r="F493" t="inlineStr">
        <is>
          <t>JÖNKÖPINGS LÄN</t>
        </is>
      </c>
      <c r="G493" t="inlineStr">
        <is>
          <t>VÄRNAMO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46220</v>
      </c>
      <c r="F494" t="inlineStr">
        <is>
          <t>JÖNKÖPINGS LÄN</t>
        </is>
      </c>
      <c r="G494" t="inlineStr">
        <is>
          <t>VÄRNAMO</t>
        </is>
      </c>
      <c r="H494" t="inlineStr">
        <is>
          <t>Kommuner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46220</v>
      </c>
      <c r="F495" t="inlineStr">
        <is>
          <t>JÖNKÖPINGS LÄN</t>
        </is>
      </c>
      <c r="G495" t="inlineStr">
        <is>
          <t>VÄRNAMO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51294-2023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45219</v>
      </c>
      <c r="E496" s="1" t="n">
        <v>46220</v>
      </c>
      <c r="F496" t="inlineStr">
        <is>
          <t>JÖNKÖPINGS LÄN</t>
        </is>
      </c>
      <c r="G496" t="inlineStr">
        <is>
          <t>VÄRNAMO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53533-2023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45223</v>
      </c>
      <c r="E497" s="1" t="n">
        <v>46220</v>
      </c>
      <c r="F497" t="inlineStr">
        <is>
          <t>JÖNKÖPINGS LÄN</t>
        </is>
      </c>
      <c r="G497" t="inlineStr">
        <is>
          <t>VÄRNAMO</t>
        </is>
      </c>
      <c r="H497" t="inlineStr">
        <is>
          <t>Kyrkan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52156-2023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46220</v>
      </c>
      <c r="F498" t="inlineStr">
        <is>
          <t>JÖNKÖPINGS LÄN</t>
        </is>
      </c>
      <c r="G498" t="inlineStr">
        <is>
          <t>VÄRNAMO</t>
        </is>
      </c>
      <c r="H498" t="inlineStr">
        <is>
          <t>Övriga Aktiebolag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27508-2026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46220</v>
      </c>
      <c r="F499" t="inlineStr">
        <is>
          <t>JÖNKÖPINGS LÄN</t>
        </is>
      </c>
      <c r="G499" t="inlineStr">
        <is>
          <t>VÄRNAMO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27216-2026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46188</v>
      </c>
      <c r="E500" s="1" t="n">
        <v>46220</v>
      </c>
      <c r="F500" t="inlineStr">
        <is>
          <t>JÖNKÖPINGS LÄN</t>
        </is>
      </c>
      <c r="G500" t="inlineStr">
        <is>
          <t>VÄRNAMO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27218-2026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46220</v>
      </c>
      <c r="F501" t="inlineStr">
        <is>
          <t>JÖNKÖPINGS LÄN</t>
        </is>
      </c>
      <c r="G501" t="inlineStr">
        <is>
          <t>VÄRNAMO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27154-2026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46220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27156-2026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46188</v>
      </c>
      <c r="E503" s="1" t="n">
        <v>46220</v>
      </c>
      <c r="F503" t="inlineStr">
        <is>
          <t>JÖNKÖPINGS LÄN</t>
        </is>
      </c>
      <c r="G503" t="inlineStr">
        <is>
          <t>VÄRNAMO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61503-2021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44501</v>
      </c>
      <c r="E504" s="1" t="n">
        <v>46220</v>
      </c>
      <c r="F504" t="inlineStr">
        <is>
          <t>JÖNKÖPINGS LÄN</t>
        </is>
      </c>
      <c r="G504" t="inlineStr">
        <is>
          <t>VÄRNAMO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27692-2026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46220</v>
      </c>
      <c r="F505" t="inlineStr">
        <is>
          <t>JÖNKÖPINGS LÄN</t>
        </is>
      </c>
      <c r="G505" t="inlineStr">
        <is>
          <t>VÄRNAMO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27713-2026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46220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27802-2026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46191</v>
      </c>
      <c r="E507" s="1" t="n">
        <v>46220</v>
      </c>
      <c r="F507" t="inlineStr">
        <is>
          <t>JÖNKÖPINGS LÄN</t>
        </is>
      </c>
      <c r="G507" t="inlineStr">
        <is>
          <t>VÄRNAMO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31346-2023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46220</v>
      </c>
      <c r="F508" t="inlineStr">
        <is>
          <t>JÖNKÖPINGS LÄN</t>
        </is>
      </c>
      <c r="G508" t="inlineStr">
        <is>
          <t>VÄRNAMO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45674</v>
      </c>
      <c r="E509" s="1" t="n">
        <v>46220</v>
      </c>
      <c r="F509" t="inlineStr">
        <is>
          <t>JÖNKÖPINGS LÄN</t>
        </is>
      </c>
      <c r="G509" t="inlineStr">
        <is>
          <t>VÄRNAMO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45674</v>
      </c>
      <c r="E510" s="1" t="n">
        <v>46220</v>
      </c>
      <c r="F510" t="inlineStr">
        <is>
          <t>JÖNKÖPINGS LÄN</t>
        </is>
      </c>
      <c r="G510" t="inlineStr">
        <is>
          <t>VÄRNAMO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27941-2026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46220</v>
      </c>
      <c r="F511" t="inlineStr">
        <is>
          <t>JÖNKÖPINGS LÄN</t>
        </is>
      </c>
      <c r="G511" t="inlineStr">
        <is>
          <t>VÄRNAMO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13930-2026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46220</v>
      </c>
      <c r="F512" t="inlineStr">
        <is>
          <t>JÖNKÖPINGS LÄN</t>
        </is>
      </c>
      <c r="G512" t="inlineStr">
        <is>
          <t>VÄRNAMO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27908-2026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46220</v>
      </c>
      <c r="F513" t="inlineStr">
        <is>
          <t>JÖNKÖPINGS LÄN</t>
        </is>
      </c>
      <c r="G513" t="inlineStr">
        <is>
          <t>VÄRNAMO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42366-2024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45563</v>
      </c>
      <c r="E514" s="1" t="n">
        <v>46220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27863-2026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46220</v>
      </c>
      <c r="F515" t="inlineStr">
        <is>
          <t>JÖNKÖPINGS LÄN</t>
        </is>
      </c>
      <c r="G515" t="inlineStr">
        <is>
          <t>VÄRNAMO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27869-2026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46220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27685-2026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46220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27916-2026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46220</v>
      </c>
      <c r="F518" t="inlineStr">
        <is>
          <t>JÖNKÖPINGS LÄN</t>
        </is>
      </c>
      <c r="G518" t="inlineStr">
        <is>
          <t>VÄRNAMO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44587</v>
      </c>
      <c r="E519" s="1" t="n">
        <v>46220</v>
      </c>
      <c r="F519" t="inlineStr">
        <is>
          <t>JÖNKÖPINGS LÄN</t>
        </is>
      </c>
      <c r="G519" t="inlineStr">
        <is>
          <t>VÄRNAMO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56402-2023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46220</v>
      </c>
      <c r="F520" t="inlineStr">
        <is>
          <t>JÖNKÖPINGS LÄN</t>
        </is>
      </c>
      <c r="G520" t="inlineStr">
        <is>
          <t>VÄRNAMO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56421-2023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46220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45174</v>
      </c>
      <c r="E522" s="1" t="n">
        <v>46220</v>
      </c>
      <c r="F522" t="inlineStr">
        <is>
          <t>JÖNKÖPINGS LÄN</t>
        </is>
      </c>
      <c r="G522" t="inlineStr">
        <is>
          <t>VÄRNAMO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28019-2026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46220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74310-2021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44559</v>
      </c>
      <c r="E524" s="1" t="n">
        <v>46220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46220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28016-2026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46220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28015-2026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46220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27950-2026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46193</v>
      </c>
      <c r="E528" s="1" t="n">
        <v>46220</v>
      </c>
      <c r="F528" t="inlineStr">
        <is>
          <t>JÖNKÖPINGS LÄN</t>
        </is>
      </c>
      <c r="G528" t="inlineStr">
        <is>
          <t>VÄRNAMO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28017-2026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46220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44831</v>
      </c>
      <c r="E530" s="1" t="n">
        <v>46220</v>
      </c>
      <c r="F530" t="inlineStr">
        <is>
          <t>JÖNKÖPINGS LÄN</t>
        </is>
      </c>
      <c r="G530" t="inlineStr">
        <is>
          <t>VÄRNAMO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28011-2026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46220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28007-2026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46220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28010-2026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46220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63924-2023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45278</v>
      </c>
      <c r="E534" s="1" t="n">
        <v>46220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46867-2023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45200</v>
      </c>
      <c r="E535" s="1" t="n">
        <v>46220</v>
      </c>
      <c r="F535" t="inlineStr">
        <is>
          <t>JÖNKÖPINGS LÄN</t>
        </is>
      </c>
      <c r="G535" t="inlineStr">
        <is>
          <t>VÄRNAMO</t>
        </is>
      </c>
      <c r="H535" t="inlineStr">
        <is>
          <t>Övriga Aktiebolag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9935-2025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45718</v>
      </c>
      <c r="E536" s="1" t="n">
        <v>46220</v>
      </c>
      <c r="F536" t="inlineStr">
        <is>
          <t>JÖNKÖPINGS LÄN</t>
        </is>
      </c>
      <c r="G536" t="inlineStr">
        <is>
          <t>VÄRNAMO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39965-2022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46220</v>
      </c>
      <c r="F537" t="inlineStr">
        <is>
          <t>JÖNKÖPINGS LÄN</t>
        </is>
      </c>
      <c r="G537" t="inlineStr">
        <is>
          <t>VÄRNAMO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40696-2023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45170</v>
      </c>
      <c r="E538" s="1" t="n">
        <v>46220</v>
      </c>
      <c r="F538" t="inlineStr">
        <is>
          <t>JÖNKÖPINGS LÄN</t>
        </is>
      </c>
      <c r="G538" t="inlineStr">
        <is>
          <t>VÄRNAMO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60248-2023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46220</v>
      </c>
      <c r="F539" t="inlineStr">
        <is>
          <t>JÖNKÖPINGS LÄN</t>
        </is>
      </c>
      <c r="G539" t="inlineStr">
        <is>
          <t>VÄRNAMO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14031-2024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45392</v>
      </c>
      <c r="E540" s="1" t="n">
        <v>46220</v>
      </c>
      <c r="F540" t="inlineStr">
        <is>
          <t>JÖNKÖPINGS LÄN</t>
        </is>
      </c>
      <c r="G540" t="inlineStr">
        <is>
          <t>VÄRNAMO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26986-2023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46220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11428-2024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45372</v>
      </c>
      <c r="E542" s="1" t="n">
        <v>46220</v>
      </c>
      <c r="F542" t="inlineStr">
        <is>
          <t>JÖNKÖPINGS LÄN</t>
        </is>
      </c>
      <c r="G542" t="inlineStr">
        <is>
          <t>VÄRNAMO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61108-2024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45645</v>
      </c>
      <c r="E543" s="1" t="n">
        <v>46220</v>
      </c>
      <c r="F543" t="inlineStr">
        <is>
          <t>JÖNKÖPINGS LÄN</t>
        </is>
      </c>
      <c r="G543" t="inlineStr">
        <is>
          <t>VÄRNAMO</t>
        </is>
      </c>
      <c r="I543" t="n">
        <v>13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16164-2024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45406</v>
      </c>
      <c r="E544" s="1" t="n">
        <v>46220</v>
      </c>
      <c r="F544" t="inlineStr">
        <is>
          <t>JÖNKÖPINGS LÄN</t>
        </is>
      </c>
      <c r="G544" t="inlineStr">
        <is>
          <t>VÄRNAMO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27153-2026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46188</v>
      </c>
      <c r="E545" s="1" t="n">
        <v>46220</v>
      </c>
      <c r="F545" t="inlineStr">
        <is>
          <t>JÖNKÖPINGS LÄN</t>
        </is>
      </c>
      <c r="G545" t="inlineStr">
        <is>
          <t>VÄRNAMO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63656-2023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45275</v>
      </c>
      <c r="E546" s="1" t="n">
        <v>46220</v>
      </c>
      <c r="F546" t="inlineStr">
        <is>
          <t>JÖNKÖPINGS LÄN</t>
        </is>
      </c>
      <c r="G546" t="inlineStr">
        <is>
          <t>VÄRNAMO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22836-2026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46220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49605-2024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46220</v>
      </c>
      <c r="F548" t="inlineStr">
        <is>
          <t>JÖNKÖPINGS LÄN</t>
        </is>
      </c>
      <c r="G548" t="inlineStr">
        <is>
          <t>VÄRNAMO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45444-2023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45194</v>
      </c>
      <c r="E549" s="1" t="n">
        <v>46220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25102-2022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44729</v>
      </c>
      <c r="E550" s="1" t="n">
        <v>46220</v>
      </c>
      <c r="F550" t="inlineStr">
        <is>
          <t>JÖNKÖPINGS LÄN</t>
        </is>
      </c>
      <c r="G550" t="inlineStr">
        <is>
          <t>VÄRNAMO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44949</v>
      </c>
      <c r="E551" s="1" t="n">
        <v>46220</v>
      </c>
      <c r="F551" t="inlineStr">
        <is>
          <t>JÖNKÖPINGS LÄN</t>
        </is>
      </c>
      <c r="G551" t="inlineStr">
        <is>
          <t>VÄRNAMO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62573-2023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45270</v>
      </c>
      <c r="E552" s="1" t="n">
        <v>46220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56272-2022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44890</v>
      </c>
      <c r="E553" s="1" t="n">
        <v>46220</v>
      </c>
      <c r="F553" t="inlineStr">
        <is>
          <t>JÖNKÖPINGS LÄN</t>
        </is>
      </c>
      <c r="G553" t="inlineStr">
        <is>
          <t>VÄRNAMO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29166-2023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45105</v>
      </c>
      <c r="E554" s="1" t="n">
        <v>46220</v>
      </c>
      <c r="F554" t="inlineStr">
        <is>
          <t>JÖNKÖPINGS LÄN</t>
        </is>
      </c>
      <c r="G554" t="inlineStr">
        <is>
          <t>VÄRNAMO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45674</v>
      </c>
      <c r="E555" s="1" t="n">
        <v>46220</v>
      </c>
      <c r="F555" t="inlineStr">
        <is>
          <t>JÖNKÖPINGS LÄN</t>
        </is>
      </c>
      <c r="G555" t="inlineStr">
        <is>
          <t>VÄRNAMO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14211-2023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45009</v>
      </c>
      <c r="E556" s="1" t="n">
        <v>46220</v>
      </c>
      <c r="F556" t="inlineStr">
        <is>
          <t>JÖNKÖPINGS LÄN</t>
        </is>
      </c>
      <c r="G556" t="inlineStr">
        <is>
          <t>VÄRNAMO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23314-2026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46220</v>
      </c>
      <c r="F557" t="inlineStr">
        <is>
          <t>JÖNKÖPINGS LÄN</t>
        </is>
      </c>
      <c r="G557" t="inlineStr">
        <is>
          <t>VÄRNAMO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4740-2025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46220</v>
      </c>
      <c r="F558" t="inlineStr">
        <is>
          <t>JÖNKÖPINGS LÄN</t>
        </is>
      </c>
      <c r="G558" t="inlineStr">
        <is>
          <t>VÄRNAMO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40226-2024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45554</v>
      </c>
      <c r="E559" s="1" t="n">
        <v>46220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10540-2025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45721</v>
      </c>
      <c r="E560" s="1" t="n">
        <v>46220</v>
      </c>
      <c r="F560" t="inlineStr">
        <is>
          <t>JÖNKÖPINGS LÄN</t>
        </is>
      </c>
      <c r="G560" t="inlineStr">
        <is>
          <t>VÄRNAMO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44230-2023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46220</v>
      </c>
      <c r="F561" t="inlineStr">
        <is>
          <t>JÖNKÖPINGS LÄN</t>
        </is>
      </c>
      <c r="G561" t="inlineStr">
        <is>
          <t>VÄRNAMO</t>
        </is>
      </c>
      <c r="I561" t="n">
        <v>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38664-2024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45547</v>
      </c>
      <c r="E562" s="1" t="n">
        <v>46220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57373-2023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46220</v>
      </c>
      <c r="F563" t="inlineStr">
        <is>
          <t>JÖNKÖPINGS LÄN</t>
        </is>
      </c>
      <c r="G563" t="inlineStr">
        <is>
          <t>VÄRNAMO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3433-2023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46220</v>
      </c>
      <c r="F564" t="inlineStr">
        <is>
          <t>JÖNKÖPINGS LÄN</t>
        </is>
      </c>
      <c r="G564" t="inlineStr">
        <is>
          <t>VÄRNAMO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29765-2026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46220</v>
      </c>
      <c r="F565" t="inlineStr">
        <is>
          <t>JÖNKÖPINGS LÄN</t>
        </is>
      </c>
      <c r="G565" t="inlineStr">
        <is>
          <t>VÄRNAMO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56415-2023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45243</v>
      </c>
      <c r="E566" s="1" t="n">
        <v>46220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30169-2026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46220</v>
      </c>
      <c r="F567" t="inlineStr">
        <is>
          <t>JÖNKÖPINGS LÄN</t>
        </is>
      </c>
      <c r="G567" t="inlineStr">
        <is>
          <t>VÄRNAMO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40777-2024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46220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74026-2021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44553</v>
      </c>
      <c r="E569" s="1" t="n">
        <v>46220</v>
      </c>
      <c r="F569" t="inlineStr">
        <is>
          <t>JÖNKÖPINGS LÄN</t>
        </is>
      </c>
      <c r="G569" t="inlineStr">
        <is>
          <t>VÄRNAMO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74027-2021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44553</v>
      </c>
      <c r="E570" s="1" t="n">
        <v>46220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6980-2025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45701</v>
      </c>
      <c r="E571" s="1" t="n">
        <v>46220</v>
      </c>
      <c r="F571" t="inlineStr">
        <is>
          <t>JÖNKÖPINGS LÄN</t>
        </is>
      </c>
      <c r="G571" t="inlineStr">
        <is>
          <t>VÄRNAMO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46220</v>
      </c>
      <c r="F572" t="inlineStr">
        <is>
          <t>JÖNKÖPINGS LÄN</t>
        </is>
      </c>
      <c r="G572" t="inlineStr">
        <is>
          <t>VÄRNAMO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14240-2024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45393</v>
      </c>
      <c r="E573" s="1" t="n">
        <v>46220</v>
      </c>
      <c r="F573" t="inlineStr">
        <is>
          <t>JÖNKÖPINGS LÄN</t>
        </is>
      </c>
      <c r="G573" t="inlineStr">
        <is>
          <t>VÄRNAMO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9041-2025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45713</v>
      </c>
      <c r="E574" s="1" t="n">
        <v>46220</v>
      </c>
      <c r="F574" t="inlineStr">
        <is>
          <t>JÖNKÖPINGS LÄN</t>
        </is>
      </c>
      <c r="G574" t="inlineStr">
        <is>
          <t>VÄRNAMO</t>
        </is>
      </c>
      <c r="H574" t="inlineStr">
        <is>
          <t>Sveaskog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41316-2023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45173</v>
      </c>
      <c r="E575" s="1" t="n">
        <v>46220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23951-2026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46220</v>
      </c>
      <c r="F576" t="inlineStr">
        <is>
          <t>JÖNKÖPINGS LÄN</t>
        </is>
      </c>
      <c r="G576" t="inlineStr">
        <is>
          <t>VÄRNAMO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30173-2026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46220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6914-2024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46220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6918-2024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46220</v>
      </c>
      <c r="F579" t="inlineStr">
        <is>
          <t>JÖNKÖPINGS LÄN</t>
        </is>
      </c>
      <c r="G579" t="inlineStr">
        <is>
          <t>VÄRNAMO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44051-2023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45188</v>
      </c>
      <c r="E580" s="1" t="n">
        <v>46220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24036-2026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46167</v>
      </c>
      <c r="E581" s="1" t="n">
        <v>46220</v>
      </c>
      <c r="F581" t="inlineStr">
        <is>
          <t>JÖNKÖPINGS LÄN</t>
        </is>
      </c>
      <c r="G581" t="inlineStr">
        <is>
          <t>VÄRNAMO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39656-2023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45167</v>
      </c>
      <c r="E582" s="1" t="n">
        <v>46220</v>
      </c>
      <c r="F582" t="inlineStr">
        <is>
          <t>JÖNKÖPINGS LÄN</t>
        </is>
      </c>
      <c r="G582" t="inlineStr">
        <is>
          <t>VÄRNAMO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24028-2026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46220</v>
      </c>
      <c r="F583" t="inlineStr">
        <is>
          <t>JÖNKÖPINGS LÄN</t>
        </is>
      </c>
      <c r="G583" t="inlineStr">
        <is>
          <t>VÄRNAMO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42830-2024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46220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36729-2022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44805</v>
      </c>
      <c r="E585" s="1" t="n">
        <v>46220</v>
      </c>
      <c r="F585" t="inlineStr">
        <is>
          <t>JÖNKÖPINGS LÄN</t>
        </is>
      </c>
      <c r="G585" t="inlineStr">
        <is>
          <t>VÄRNAMO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20199-2022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44698</v>
      </c>
      <c r="E586" s="1" t="n">
        <v>46220</v>
      </c>
      <c r="F586" t="inlineStr">
        <is>
          <t>JÖNKÖPINGS LÄN</t>
        </is>
      </c>
      <c r="G586" t="inlineStr">
        <is>
          <t>VÄRNAMO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24032-2026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46220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13285-2026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46220</v>
      </c>
      <c r="F588" t="inlineStr">
        <is>
          <t>JÖNKÖPINGS LÄN</t>
        </is>
      </c>
      <c r="G588" t="inlineStr">
        <is>
          <t>VÄRNAMO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55764-2025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45972</v>
      </c>
      <c r="E589" s="1" t="n">
        <v>46220</v>
      </c>
      <c r="F589" t="inlineStr">
        <is>
          <t>JÖNKÖPINGS LÄN</t>
        </is>
      </c>
      <c r="G589" t="inlineStr">
        <is>
          <t>VÄRNAMO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44936</v>
      </c>
      <c r="E590" s="1" t="n">
        <v>46220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18890-2023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45044</v>
      </c>
      <c r="E591" s="1" t="n">
        <v>46220</v>
      </c>
      <c r="F591" t="inlineStr">
        <is>
          <t>JÖNKÖPINGS LÄN</t>
        </is>
      </c>
      <c r="G591" t="inlineStr">
        <is>
          <t>VÄRNAMO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64002-2023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45278</v>
      </c>
      <c r="E592" s="1" t="n">
        <v>46220</v>
      </c>
      <c r="F592" t="inlineStr">
        <is>
          <t>JÖNKÖPINGS LÄN</t>
        </is>
      </c>
      <c r="G592" t="inlineStr">
        <is>
          <t>VÄRNAMO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24809-2026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46172</v>
      </c>
      <c r="E593" s="1" t="n">
        <v>46220</v>
      </c>
      <c r="F593" t="inlineStr">
        <is>
          <t>JÖNKÖPINGS LÄN</t>
        </is>
      </c>
      <c r="G593" t="inlineStr">
        <is>
          <t>VÄRNAMO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15105-2026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46101</v>
      </c>
      <c r="E594" s="1" t="n">
        <v>46220</v>
      </c>
      <c r="F594" t="inlineStr">
        <is>
          <t>JÖNKÖPINGS LÄN</t>
        </is>
      </c>
      <c r="G594" t="inlineStr">
        <is>
          <t>VÄRNAMO</t>
        </is>
      </c>
      <c r="I594" t="n">
        <v>58.2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51754-2024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46220</v>
      </c>
      <c r="F595" t="inlineStr">
        <is>
          <t>JÖNKÖPINGS LÄN</t>
        </is>
      </c>
      <c r="G595" t="inlineStr">
        <is>
          <t>VÄRNAMO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46206</v>
      </c>
      <c r="E596" s="1" t="n">
        <v>46220</v>
      </c>
      <c r="F596" t="inlineStr">
        <is>
          <t>JÖNKÖPINGS LÄN</t>
        </is>
      </c>
      <c r="G596" t="inlineStr">
        <is>
          <t>VÄRNAMO</t>
        </is>
      </c>
      <c r="I596" t="n">
        <v>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50550-2025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45945</v>
      </c>
      <c r="E597" s="1" t="n">
        <v>46220</v>
      </c>
      <c r="F597" t="inlineStr">
        <is>
          <t>JÖNKÖPINGS LÄN</t>
        </is>
      </c>
      <c r="G597" t="inlineStr">
        <is>
          <t>VÄRNAMO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25543-2026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46220</v>
      </c>
      <c r="F598" t="inlineStr">
        <is>
          <t>JÖNKÖPINGS LÄN</t>
        </is>
      </c>
      <c r="G598" t="inlineStr">
        <is>
          <t>VÄRNAMO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64048-2023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45279</v>
      </c>
      <c r="E599" s="1" t="n">
        <v>46220</v>
      </c>
      <c r="F599" t="inlineStr">
        <is>
          <t>JÖNKÖPINGS LÄN</t>
        </is>
      </c>
      <c r="G599" t="inlineStr">
        <is>
          <t>VÄRNAMO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20481-2022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44699</v>
      </c>
      <c r="E600" s="1" t="n">
        <v>46220</v>
      </c>
      <c r="F600" t="inlineStr">
        <is>
          <t>JÖNKÖPINGS LÄN</t>
        </is>
      </c>
      <c r="G600" t="inlineStr">
        <is>
          <t>VÄRNAMO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46468-2023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46220</v>
      </c>
      <c r="F601" t="inlineStr">
        <is>
          <t>JÖNKÖPINGS LÄN</t>
        </is>
      </c>
      <c r="G601" t="inlineStr">
        <is>
          <t>VÄRNAMO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46471-2023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46220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35359-2023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45146</v>
      </c>
      <c r="E603" s="1" t="n">
        <v>46220</v>
      </c>
      <c r="F603" t="inlineStr">
        <is>
          <t>JÖNKÖPINGS LÄN</t>
        </is>
      </c>
      <c r="G603" t="inlineStr">
        <is>
          <t>VÄRNAMO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62798-2023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45271</v>
      </c>
      <c r="E604" s="1" t="n">
        <v>46220</v>
      </c>
      <c r="F604" t="inlineStr">
        <is>
          <t>JÖNKÖPINGS LÄN</t>
        </is>
      </c>
      <c r="G604" t="inlineStr">
        <is>
          <t>VÄRNAMO</t>
        </is>
      </c>
      <c r="H604" t="inlineStr">
        <is>
          <t>Kommuner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61608-2023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46220</v>
      </c>
      <c r="F605" t="inlineStr">
        <is>
          <t>JÖNKÖPINGS LÄN</t>
        </is>
      </c>
      <c r="G605" t="inlineStr">
        <is>
          <t>VÄRNAMO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12304-2023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44998</v>
      </c>
      <c r="E606" s="1" t="n">
        <v>46220</v>
      </c>
      <c r="F606" t="inlineStr">
        <is>
          <t>JÖNKÖPINGS LÄN</t>
        </is>
      </c>
      <c r="G606" t="inlineStr">
        <is>
          <t>VÄRNAMO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12305-2023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46220</v>
      </c>
      <c r="F607" t="inlineStr">
        <is>
          <t>JÖNKÖPINGS LÄN</t>
        </is>
      </c>
      <c r="G607" t="inlineStr">
        <is>
          <t>VÄRNAMO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17464-2023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45036</v>
      </c>
      <c r="E608" s="1" t="n">
        <v>46220</v>
      </c>
      <c r="F608" t="inlineStr">
        <is>
          <t>JÖNKÖPINGS LÄN</t>
        </is>
      </c>
      <c r="G608" t="inlineStr">
        <is>
          <t>VÄRNAMO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17678-2023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45037</v>
      </c>
      <c r="E609" s="1" t="n">
        <v>46220</v>
      </c>
      <c r="F609" t="inlineStr">
        <is>
          <t>JÖNKÖPINGS LÄN</t>
        </is>
      </c>
      <c r="G609" t="inlineStr">
        <is>
          <t>VÄRNAMO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21104-2025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45777</v>
      </c>
      <c r="E610" s="1" t="n">
        <v>46220</v>
      </c>
      <c r="F610" t="inlineStr">
        <is>
          <t>JÖNKÖPINGS LÄN</t>
        </is>
      </c>
      <c r="G610" t="inlineStr">
        <is>
          <t>VÄRNAMO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48186-2024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45589</v>
      </c>
      <c r="E611" s="1" t="n">
        <v>46220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26271-2024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45468</v>
      </c>
      <c r="E612" s="1" t="n">
        <v>46220</v>
      </c>
      <c r="F612" t="inlineStr">
        <is>
          <t>JÖNKÖPINGS LÄN</t>
        </is>
      </c>
      <c r="G612" t="inlineStr">
        <is>
          <t>VÄRNAMO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19090-2024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45428</v>
      </c>
      <c r="E613" s="1" t="n">
        <v>46220</v>
      </c>
      <c r="F613" t="inlineStr">
        <is>
          <t>JÖNKÖPINGS LÄN</t>
        </is>
      </c>
      <c r="G613" t="inlineStr">
        <is>
          <t>VÄRNAMO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38662-2024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45547</v>
      </c>
      <c r="E614" s="1" t="n">
        <v>46220</v>
      </c>
      <c r="F614" t="inlineStr">
        <is>
          <t>JÖNKÖPINGS LÄN</t>
        </is>
      </c>
      <c r="G614" t="inlineStr">
        <is>
          <t>VÄRNAMO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56413-2023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45243</v>
      </c>
      <c r="E615" s="1" t="n">
        <v>46220</v>
      </c>
      <c r="F615" t="inlineStr">
        <is>
          <t>JÖNKÖPINGS LÄN</t>
        </is>
      </c>
      <c r="G615" t="inlineStr">
        <is>
          <t>VÄRNAMO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22220-2024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45445</v>
      </c>
      <c r="E616" s="1" t="n">
        <v>46220</v>
      </c>
      <c r="F616" t="inlineStr">
        <is>
          <t>JÖNKÖPINGS LÄN</t>
        </is>
      </c>
      <c r="G616" t="inlineStr">
        <is>
          <t>VÄRNAMO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22994-2025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45790</v>
      </c>
      <c r="E617" s="1" t="n">
        <v>46220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11112-2025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45723</v>
      </c>
      <c r="E618" s="1" t="n">
        <v>46220</v>
      </c>
      <c r="F618" t="inlineStr">
        <is>
          <t>JÖNKÖPINGS LÄN</t>
        </is>
      </c>
      <c r="G618" t="inlineStr">
        <is>
          <t>VÄRNAMO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41893-2024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46220</v>
      </c>
      <c r="F619" t="inlineStr">
        <is>
          <t>JÖNKÖPINGS LÄN</t>
        </is>
      </c>
      <c r="G619" t="inlineStr">
        <is>
          <t>VÄRNAMO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23671-2025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45792</v>
      </c>
      <c r="E620" s="1" t="n">
        <v>46220</v>
      </c>
      <c r="F620" t="inlineStr">
        <is>
          <t>JÖNKÖPINGS LÄN</t>
        </is>
      </c>
      <c r="G620" t="inlineStr">
        <is>
          <t>VÄRNAMO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46220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46220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46220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46220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46220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46220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46220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46220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46220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46220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46220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46220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46220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46220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46220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46220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46220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46220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46220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46220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46220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2026-07-17T01:39:51Z</dcterms:created>
  <dcterms:modified xmlns:dcterms="http://purl.org/dc/terms/" xmlns:xsi="http://www.w3.org/2001/XMLSchema-instance" xsi:type="dcterms:W3CDTF">2026-07-17T01:39:51Z</dcterms:modified>
</cp:coreProperties>
</file>