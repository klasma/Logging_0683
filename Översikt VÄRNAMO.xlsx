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46279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46279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46279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46279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46279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46279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49187-2023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45205</v>
      </c>
      <c r="E8" s="1" t="n">
        <v>46279</v>
      </c>
      <c r="F8" t="inlineStr">
        <is>
          <t>JÖNKÖPINGS LÄN</t>
        </is>
      </c>
      <c r="G8" t="inlineStr">
        <is>
          <t>VÄRNAMO</t>
        </is>
      </c>
      <c r="I8" t="n">
        <v>5.3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Fällmossa
Guldlockmossa
Gulpudrad spiklav</t>
        </is>
      </c>
      <c r="W8">
        <f>HYPERLINK("https://klasma.github.io/Logging_0683/artfynd/A 49187-2023 artfynd.xlsx", "A 49187-2023")</f>
        <v/>
      </c>
      <c r="X8">
        <f>HYPERLINK("https://klasma.github.io/Logging_0683/kartor/A 49187-2023 karta.png", "A 49187-2023")</f>
        <v/>
      </c>
      <c r="Y8">
        <f>HYPERLINK("https://klasma.github.io/Logging_0683/kartor_geotiff/A 49187-2023 georefererad karta.tif", "A 49187-2023")</f>
        <v/>
      </c>
      <c r="AA8">
        <f>HYPERLINK("https://klasma.github.io/Logging_0683/klagomål/A 49187-2023 FSC-klagomål.docx", "A 49187-2023")</f>
        <v/>
      </c>
      <c r="AB8">
        <f>HYPERLINK("https://klasma.github.io/Logging_0683/klagomålsmail/A 49187-2023 FSC-klagomål mail.docx", "A 49187-2023")</f>
        <v/>
      </c>
      <c r="AC8">
        <f>HYPERLINK("https://klasma.github.io/Logging_0683/tillsyn/A 49187-2023 tillsynsbegäran.docx", "A 49187-2023")</f>
        <v/>
      </c>
      <c r="AD8">
        <f>HYPERLINK("https://klasma.github.io/Logging_0683/tillsynsmail/A 49187-2023 tillsynsbegäran mail.docx", "A 49187-2023")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46279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46279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Skaftslamkrypa
Grönpyrola
Vätteros</t>
        </is>
      </c>
      <c r="W10">
        <f>HYPERLINK("https://klasma.github.io/Logging_0683/artfynd/A 29356-2024 artfynd.xlsx", "A 29356-2024")</f>
        <v/>
      </c>
      <c r="X10">
        <f>HYPERLINK("https://klasma.github.io/Logging_0683/kartor/A 29356-2024 karta.png", "A 29356-2024")</f>
        <v/>
      </c>
      <c r="Y10">
        <f>HYPERLINK("https://klasma.github.io/Logging_0683/kartor_geotiff/A 29356-2024 georefererad karta.tif", "A 29356-2024")</f>
        <v/>
      </c>
      <c r="AA10">
        <f>HYPERLINK("https://klasma.github.io/Logging_0683/klagomål/A 29356-2024 FSC-klagomål.docx", "A 29356-2024")</f>
        <v/>
      </c>
      <c r="AB10">
        <f>HYPERLINK("https://klasma.github.io/Logging_0683/klagomålsmail/A 29356-2024 FSC-klagomål mail.docx", "A 29356-2024")</f>
        <v/>
      </c>
      <c r="AC10">
        <f>HYPERLINK("https://klasma.github.io/Logging_0683/tillsyn/A 29356-2024 tillsynsbegäran.docx", "A 29356-2024")</f>
        <v/>
      </c>
      <c r="AD10">
        <f>HYPERLINK("https://klasma.github.io/Logging_0683/tillsynsmail/A 29356-2024 tillsynsbegäran mail.docx", "A 29356-2024")</f>
        <v/>
      </c>
    </row>
    <row r="11" ht="15" customHeight="1">
      <c r="A11" t="inlineStr">
        <is>
          <t>A 15112-2026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46101</v>
      </c>
      <c r="E11" s="1" t="n">
        <v>46279</v>
      </c>
      <c r="F11" t="inlineStr">
        <is>
          <t>JÖNKÖPINGS LÄN</t>
        </is>
      </c>
      <c r="G11" t="inlineStr">
        <is>
          <t>VÄRNAMO</t>
        </is>
      </c>
      <c r="I11" t="n">
        <v>12.5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1</v>
      </c>
      <c r="V11" s="2" t="inlineStr">
        <is>
          <t>Slåttergubbe
Hårginst
Klofibbla</t>
        </is>
      </c>
      <c r="W11">
        <f>HYPERLINK("https://klasma.github.io/Logging_0683/artfynd/A 15112-2026 artfynd.xlsx", "A 15112-2026")</f>
        <v/>
      </c>
      <c r="X11">
        <f>HYPERLINK("https://klasma.github.io/Logging_0683/kartor/A 15112-2026 karta.png", "A 15112-2026")</f>
        <v/>
      </c>
      <c r="Y11">
        <f>HYPERLINK("https://klasma.github.io/Logging_0683/kartor_geotiff/A 15112-2026 georefererad karta.tif", "A 15112-2026")</f>
        <v/>
      </c>
      <c r="AA11">
        <f>HYPERLINK("https://klasma.github.io/Logging_0683/klagomål/A 15112-2026 FSC-klagomål.docx", "A 15112-2026")</f>
        <v/>
      </c>
      <c r="AB11">
        <f>HYPERLINK("https://klasma.github.io/Logging_0683/klagomålsmail/A 15112-2026 FSC-klagomål mail.docx", "A 15112-2026")</f>
        <v/>
      </c>
      <c r="AC11">
        <f>HYPERLINK("https://klasma.github.io/Logging_0683/tillsyn/A 15112-2026 tillsynsbegäran.docx", "A 15112-2026")</f>
        <v/>
      </c>
      <c r="AD11">
        <f>HYPERLINK("https://klasma.github.io/Logging_0683/tillsynsmail/A 15112-2026 tillsynsbegäran mail.docx", "A 15112-2026")</f>
        <v/>
      </c>
    </row>
    <row r="12" ht="15" customHeight="1">
      <c r="A12" t="inlineStr">
        <is>
          <t>A 1050-2026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46030</v>
      </c>
      <c r="E12" s="1" t="n">
        <v>46279</v>
      </c>
      <c r="F12" t="inlineStr">
        <is>
          <t>JÖNKÖPINGS LÄN</t>
        </is>
      </c>
      <c r="G12" t="inlineStr">
        <is>
          <t>VÄRNAMO</t>
        </is>
      </c>
      <c r="I12" t="n">
        <v>1.4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Gulpudrad spiklav
Rostfläck
Sotlav</t>
        </is>
      </c>
      <c r="W12">
        <f>HYPERLINK("https://klasma.github.io/Logging_0683/artfynd/A 1050-2026 artfynd.xlsx", "A 1050-2026")</f>
        <v/>
      </c>
      <c r="X12">
        <f>HYPERLINK("https://klasma.github.io/Logging_0683/kartor/A 1050-2026 karta.png", "A 1050-2026")</f>
        <v/>
      </c>
      <c r="Y12">
        <f>HYPERLINK("https://klasma.github.io/Logging_0683/kartor_geotiff/A 1050-2026 georefererad karta.tif", "A 1050-2026")</f>
        <v/>
      </c>
      <c r="AA12">
        <f>HYPERLINK("https://klasma.github.io/Logging_0683/klagomål/A 1050-2026 FSC-klagomål.docx", "A 1050-2026")</f>
        <v/>
      </c>
      <c r="AB12">
        <f>HYPERLINK("https://klasma.github.io/Logging_0683/klagomålsmail/A 1050-2026 FSC-klagomål mail.docx", "A 1050-2026")</f>
        <v/>
      </c>
      <c r="AC12">
        <f>HYPERLINK("https://klasma.github.io/Logging_0683/tillsyn/A 1050-2026 tillsynsbegäran.docx", "A 1050-2026")</f>
        <v/>
      </c>
      <c r="AD12">
        <f>HYPERLINK("https://klasma.github.io/Logging_0683/tillsynsmail/A 1050-2026 tillsynsbegäran mail.docx", "A 1050-2026")</f>
        <v/>
      </c>
    </row>
    <row r="13" ht="15" customHeight="1">
      <c r="A13" t="inlineStr">
        <is>
          <t>A 72729-2021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44546</v>
      </c>
      <c r="E13" s="1" t="n">
        <v>46279</v>
      </c>
      <c r="F13" t="inlineStr">
        <is>
          <t>JÖNKÖPINGS LÄN</t>
        </is>
      </c>
      <c r="G13" t="inlineStr">
        <is>
          <t>VÄRNAMO</t>
        </is>
      </c>
      <c r="I13" t="n">
        <v>9.699999999999999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Blåmossa
Stor revmossa
Vanlig groda</t>
        </is>
      </c>
      <c r="W13">
        <f>HYPERLINK("https://klasma.github.io/Logging_0683/artfynd/A 72729-2021 artfynd.xlsx", "A 72729-2021")</f>
        <v/>
      </c>
      <c r="X13">
        <f>HYPERLINK("https://klasma.github.io/Logging_0683/kartor/A 72729-2021 karta.png", "A 72729-2021")</f>
        <v/>
      </c>
      <c r="Y13">
        <f>HYPERLINK("https://klasma.github.io/Logging_0683/kartor_geotiff/A 72729-2021 georefererad karta.tif", "A 72729-2021")</f>
        <v/>
      </c>
      <c r="AA13">
        <f>HYPERLINK("https://klasma.github.io/Logging_0683/klagomål/A 72729-2021 FSC-klagomål.docx", "A 72729-2021")</f>
        <v/>
      </c>
      <c r="AB13">
        <f>HYPERLINK("https://klasma.github.io/Logging_0683/klagomålsmail/A 72729-2021 FSC-klagomål mail.docx", "A 72729-2021")</f>
        <v/>
      </c>
      <c r="AC13">
        <f>HYPERLINK("https://klasma.github.io/Logging_0683/tillsyn/A 72729-2021 tillsynsbegäran.docx", "A 72729-2021")</f>
        <v/>
      </c>
      <c r="AD13">
        <f>HYPERLINK("https://klasma.github.io/Logging_0683/tillsynsmail/A 72729-2021 tillsynsbegäran mail.docx", "A 72729-2021")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46279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46279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46279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46279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46279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46279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46279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26198-2023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46279</v>
      </c>
      <c r="F21" t="inlineStr">
        <is>
          <t>JÖNKÖPINGS LÄN</t>
        </is>
      </c>
      <c r="G21" t="inlineStr">
        <is>
          <t>VÄRNAMO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26198-2023 artfynd.xlsx", "A 26198-2023")</f>
        <v/>
      </c>
      <c r="X21">
        <f>HYPERLINK("https://klasma.github.io/Logging_0683/kartor/A 26198-2023 karta.png", "A 26198-2023")</f>
        <v/>
      </c>
      <c r="Y21">
        <f>HYPERLINK("https://klasma.github.io/Logging_0683/kartor_geotiff/A 26198-2023 georefererad karta.tif", "A 26198-2023")</f>
        <v/>
      </c>
      <c r="AA21">
        <f>HYPERLINK("https://klasma.github.io/Logging_0683/klagomål/A 26198-2023 FSC-klagomål.docx", "A 26198-2023")</f>
        <v/>
      </c>
      <c r="AB21">
        <f>HYPERLINK("https://klasma.github.io/Logging_0683/klagomålsmail/A 26198-2023 FSC-klagomål mail.docx", "A 26198-2023")</f>
        <v/>
      </c>
      <c r="AC21">
        <f>HYPERLINK("https://klasma.github.io/Logging_0683/tillsyn/A 26198-2023 tillsynsbegäran.docx", "A 26198-2023")</f>
        <v/>
      </c>
      <c r="AD21">
        <f>HYPERLINK("https://klasma.github.io/Logging_0683/tillsynsmail/A 26198-2023 tillsynsbegäran mail.docx", "A 26198-2023")</f>
        <v/>
      </c>
    </row>
    <row r="22" ht="15" customHeight="1">
      <c r="A22" t="inlineStr">
        <is>
          <t>A 63418-2021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44508</v>
      </c>
      <c r="E22" s="1" t="n">
        <v>46279</v>
      </c>
      <c r="F22" t="inlineStr">
        <is>
          <t>JÖNKÖPINGS LÄN</t>
        </is>
      </c>
      <c r="G22" t="inlineStr">
        <is>
          <t>VÄRNAMO</t>
        </is>
      </c>
      <c r="I22" t="n">
        <v>8.4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Motaggsvamp</t>
        </is>
      </c>
      <c r="W22">
        <f>HYPERLINK("https://klasma.github.io/Logging_0683/artfynd/A 63418-2021 artfynd.xlsx", "A 63418-2021")</f>
        <v/>
      </c>
      <c r="X22">
        <f>HYPERLINK("https://klasma.github.io/Logging_0683/kartor/A 63418-2021 karta.png", "A 63418-2021")</f>
        <v/>
      </c>
      <c r="Y22">
        <f>HYPERLINK("https://klasma.github.io/Logging_0683/kartor_geotiff/A 63418-2021 georefererad karta.tif", "A 63418-2021")</f>
        <v/>
      </c>
      <c r="AA22">
        <f>HYPERLINK("https://klasma.github.io/Logging_0683/klagomål/A 63418-2021 FSC-klagomål.docx", "A 63418-2021")</f>
        <v/>
      </c>
      <c r="AB22">
        <f>HYPERLINK("https://klasma.github.io/Logging_0683/klagomålsmail/A 63418-2021 FSC-klagomål mail.docx", "A 63418-2021")</f>
        <v/>
      </c>
      <c r="AC22">
        <f>HYPERLINK("https://klasma.github.io/Logging_0683/tillsyn/A 63418-2021 tillsynsbegäran.docx", "A 63418-2021")</f>
        <v/>
      </c>
      <c r="AD22">
        <f>HYPERLINK("https://klasma.github.io/Logging_0683/tillsynsmail/A 63418-2021 tillsynsbegäran mail.docx", "A 63418-2021")</f>
        <v/>
      </c>
    </row>
    <row r="23" ht="15" customHeight="1">
      <c r="A23" t="inlineStr">
        <is>
          <t>A 33366-2025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45841</v>
      </c>
      <c r="E23" s="1" t="n">
        <v>46279</v>
      </c>
      <c r="F23" t="inlineStr">
        <is>
          <t>JÖNKÖPINGS LÄN</t>
        </is>
      </c>
      <c r="G23" t="inlineStr">
        <is>
          <t>VÄRNAMO</t>
        </is>
      </c>
      <c r="I23" t="n">
        <v>5.7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Strandlummer</t>
        </is>
      </c>
      <c r="W23">
        <f>HYPERLINK("https://klasma.github.io/Logging_0683/artfynd/A 33366-2025 artfynd.xlsx", "A 33366-2025")</f>
        <v/>
      </c>
      <c r="X23">
        <f>HYPERLINK("https://klasma.github.io/Logging_0683/kartor/A 33366-2025 karta.png", "A 33366-2025")</f>
        <v/>
      </c>
      <c r="Y23">
        <f>HYPERLINK("https://klasma.github.io/Logging_0683/kartor_geotiff/A 33366-2025 georefererad karta.tif", "A 33366-2025")</f>
        <v/>
      </c>
      <c r="AA23">
        <f>HYPERLINK("https://klasma.github.io/Logging_0683/klagomål/A 33366-2025 FSC-klagomål.docx", "A 33366-2025")</f>
        <v/>
      </c>
      <c r="AB23">
        <f>HYPERLINK("https://klasma.github.io/Logging_0683/klagomålsmail/A 33366-2025 FSC-klagomål mail.docx", "A 33366-2025")</f>
        <v/>
      </c>
      <c r="AC23">
        <f>HYPERLINK("https://klasma.github.io/Logging_0683/tillsyn/A 33366-2025 tillsynsbegäran.docx", "A 33366-2025")</f>
        <v/>
      </c>
      <c r="AD23">
        <f>HYPERLINK("https://klasma.github.io/Logging_0683/tillsynsmail/A 33366-2025 tillsynsbegäran mail.docx", "A 33366-2025")</f>
        <v/>
      </c>
    </row>
    <row r="24" ht="15" customHeight="1">
      <c r="A24" t="inlineStr">
        <is>
          <t>A 20253-2025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45772</v>
      </c>
      <c r="E24" s="1" t="n">
        <v>46279</v>
      </c>
      <c r="F24" t="inlineStr">
        <is>
          <t>JÖNKÖPINGS LÄN</t>
        </is>
      </c>
      <c r="G24" t="inlineStr">
        <is>
          <t>VÄRNAMO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HYPERLINK("https://klasma.github.io/Logging_0683/artfynd/A 20253-2025 artfynd.xlsx", "A 20253-2025")</f>
        <v/>
      </c>
      <c r="X24">
        <f>HYPERLINK("https://klasma.github.io/Logging_0683/kartor/A 20253-2025 karta.png", "A 20253-2025")</f>
        <v/>
      </c>
      <c r="Y24">
        <f>HYPERLINK("https://klasma.github.io/Logging_0683/kartor_geotiff/A 20253-2025 georefererad karta.tif", "A 20253-2025")</f>
        <v/>
      </c>
      <c r="AA24">
        <f>HYPERLINK("https://klasma.github.io/Logging_0683/klagomål/A 20253-2025 FSC-klagomål.docx", "A 20253-2025")</f>
        <v/>
      </c>
      <c r="AB24">
        <f>HYPERLINK("https://klasma.github.io/Logging_0683/klagomålsmail/A 20253-2025 FSC-klagomål mail.docx", "A 20253-2025")</f>
        <v/>
      </c>
      <c r="AC24">
        <f>HYPERLINK("https://klasma.github.io/Logging_0683/tillsyn/A 20253-2025 tillsynsbegäran.docx", "A 20253-2025")</f>
        <v/>
      </c>
      <c r="AD24">
        <f>HYPERLINK("https://klasma.github.io/Logging_0683/tillsynsmail/A 20253-2025 tillsynsbegäran mail.docx", "A 20253-2025")</f>
        <v/>
      </c>
    </row>
    <row r="25" ht="15" customHeight="1">
      <c r="A25" t="inlineStr">
        <is>
          <t>A 10842-2026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46078</v>
      </c>
      <c r="E25" s="1" t="n">
        <v>46279</v>
      </c>
      <c r="F25" t="inlineStr">
        <is>
          <t>JÖNKÖPINGS LÄN</t>
        </is>
      </c>
      <c r="G25" t="inlineStr">
        <is>
          <t>VÄRNAMO</t>
        </is>
      </c>
      <c r="I25" t="n">
        <v>1.5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Klockgentiana</t>
        </is>
      </c>
      <c r="W25">
        <f>HYPERLINK("https://klasma.github.io/Logging_0683/artfynd/A 10842-2026 artfynd.xlsx", "A 10842-2026")</f>
        <v/>
      </c>
      <c r="X25">
        <f>HYPERLINK("https://klasma.github.io/Logging_0683/kartor/A 10842-2026 karta.png", "A 10842-2026")</f>
        <v/>
      </c>
      <c r="Y25">
        <f>HYPERLINK("https://klasma.github.io/Logging_0683/kartor_geotiff/A 10842-2026 georefererad karta.tif", "A 10842-2026")</f>
        <v/>
      </c>
      <c r="AA25">
        <f>HYPERLINK("https://klasma.github.io/Logging_0683/klagomål/A 10842-2026 FSC-klagomål.docx", "A 10842-2026")</f>
        <v/>
      </c>
      <c r="AB25">
        <f>HYPERLINK("https://klasma.github.io/Logging_0683/klagomålsmail/A 10842-2026 FSC-klagomål mail.docx", "A 10842-2026")</f>
        <v/>
      </c>
      <c r="AC25">
        <f>HYPERLINK("https://klasma.github.io/Logging_0683/tillsyn/A 10842-2026 tillsynsbegäran.docx", "A 10842-2026")</f>
        <v/>
      </c>
      <c r="AD25">
        <f>HYPERLINK("https://klasma.github.io/Logging_0683/tillsynsmail/A 10842-2026 tillsynsbegäran mail.docx", "A 10842-2026")</f>
        <v/>
      </c>
    </row>
    <row r="26" ht="15" customHeight="1">
      <c r="A26" t="inlineStr">
        <is>
          <t>A 23613-2023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45077</v>
      </c>
      <c r="E26" s="1" t="n">
        <v>46279</v>
      </c>
      <c r="F26" t="inlineStr">
        <is>
          <t>JÖNKÖPINGS LÄN</t>
        </is>
      </c>
      <c r="G26" t="inlineStr">
        <is>
          <t>VÄRNAMO</t>
        </is>
      </c>
      <c r="I26" t="n">
        <v>1.5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Lunglav</t>
        </is>
      </c>
      <c r="W26">
        <f>HYPERLINK("https://klasma.github.io/Logging_0683/artfynd/A 23613-2023 artfynd.xlsx", "A 23613-2023")</f>
        <v/>
      </c>
      <c r="X26">
        <f>HYPERLINK("https://klasma.github.io/Logging_0683/kartor/A 23613-2023 karta.png", "A 23613-2023")</f>
        <v/>
      </c>
      <c r="Y26">
        <f>HYPERLINK("https://klasma.github.io/Logging_0683/kartor_geotiff/A 23613-2023 georefererad karta.tif", "A 23613-2023")</f>
        <v/>
      </c>
      <c r="AA26">
        <f>HYPERLINK("https://klasma.github.io/Logging_0683/klagomål/A 23613-2023 FSC-klagomål.docx", "A 23613-2023")</f>
        <v/>
      </c>
      <c r="AB26">
        <f>HYPERLINK("https://klasma.github.io/Logging_0683/klagomålsmail/A 23613-2023 FSC-klagomål mail.docx", "A 23613-2023")</f>
        <v/>
      </c>
      <c r="AC26">
        <f>HYPERLINK("https://klasma.github.io/Logging_0683/tillsyn/A 23613-2023 tillsynsbegäran.docx", "A 23613-2023")</f>
        <v/>
      </c>
      <c r="AD26">
        <f>HYPERLINK("https://klasma.github.io/Logging_0683/tillsynsmail/A 23613-2023 tillsynsbegäran mail.docx", "A 23613-2023")</f>
        <v/>
      </c>
    </row>
    <row r="27" ht="15" customHeight="1">
      <c r="A27" t="inlineStr">
        <is>
          <t>A 17221-2025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45756</v>
      </c>
      <c r="E27" s="1" t="n">
        <v>46279</v>
      </c>
      <c r="F27" t="inlineStr">
        <is>
          <t>JÖNKÖPINGS LÄN</t>
        </is>
      </c>
      <c r="G27" t="inlineStr">
        <is>
          <t>VÄRNAMO</t>
        </is>
      </c>
      <c r="I27" t="n">
        <v>3.7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Buskskvätta</t>
        </is>
      </c>
      <c r="W27">
        <f>HYPERLINK("https://klasma.github.io/Logging_0683/artfynd/A 17221-2025 artfynd.xlsx", "A 17221-2025")</f>
        <v/>
      </c>
      <c r="X27">
        <f>HYPERLINK("https://klasma.github.io/Logging_0683/kartor/A 17221-2025 karta.png", "A 17221-2025")</f>
        <v/>
      </c>
      <c r="Y27">
        <f>HYPERLINK("https://klasma.github.io/Logging_0683/kartor_geotiff/A 17221-2025 georefererad karta.tif", "A 17221-2025")</f>
        <v/>
      </c>
      <c r="AA27">
        <f>HYPERLINK("https://klasma.github.io/Logging_0683/klagomål/A 17221-2025 FSC-klagomål.docx", "A 17221-2025")</f>
        <v/>
      </c>
      <c r="AB27">
        <f>HYPERLINK("https://klasma.github.io/Logging_0683/klagomålsmail/A 17221-2025 FSC-klagomål mail.docx", "A 17221-2025")</f>
        <v/>
      </c>
      <c r="AC27">
        <f>HYPERLINK("https://klasma.github.io/Logging_0683/tillsyn/A 17221-2025 tillsynsbegäran.docx", "A 17221-2025")</f>
        <v/>
      </c>
      <c r="AD27">
        <f>HYPERLINK("https://klasma.github.io/Logging_0683/tillsynsmail/A 17221-2025 tillsynsbegäran mail.docx", "A 17221-2025")</f>
        <v/>
      </c>
    </row>
    <row r="28" ht="15" customHeight="1">
      <c r="A28" t="inlineStr">
        <is>
          <t>A 9986-2023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44979</v>
      </c>
      <c r="E28" s="1" t="n">
        <v>46279</v>
      </c>
      <c r="F28" t="inlineStr">
        <is>
          <t>JÖNKÖPINGS LÄN</t>
        </is>
      </c>
      <c r="G28" t="inlineStr">
        <is>
          <t>VÄRNAMO</t>
        </is>
      </c>
      <c r="I28" t="n">
        <v>4.1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HYPERLINK("https://klasma.github.io/Logging_0683/artfynd/A 9986-2023 artfynd.xlsx", "A 9986-2023")</f>
        <v/>
      </c>
      <c r="X28">
        <f>HYPERLINK("https://klasma.github.io/Logging_0683/kartor/A 9986-2023 karta.png", "A 9986-2023")</f>
        <v/>
      </c>
      <c r="Y28">
        <f>HYPERLINK("https://klasma.github.io/Logging_0683/kartor_geotiff/A 9986-2023 georefererad karta.tif", "A 9986-2023")</f>
        <v/>
      </c>
      <c r="AA28">
        <f>HYPERLINK("https://klasma.github.io/Logging_0683/klagomål/A 9986-2023 FSC-klagomål.docx", "A 9986-2023")</f>
        <v/>
      </c>
      <c r="AB28">
        <f>HYPERLINK("https://klasma.github.io/Logging_0683/klagomålsmail/A 9986-2023 FSC-klagomål mail.docx", "A 9986-2023")</f>
        <v/>
      </c>
      <c r="AC28">
        <f>HYPERLINK("https://klasma.github.io/Logging_0683/tillsyn/A 9986-2023 tillsynsbegäran.docx", "A 9986-2023")</f>
        <v/>
      </c>
      <c r="AD28">
        <f>HYPERLINK("https://klasma.github.io/Logging_0683/tillsynsmail/A 9986-2023 tillsynsbegäran mail.docx", "A 9986-2023")</f>
        <v/>
      </c>
    </row>
    <row r="29" ht="15" customHeight="1">
      <c r="A29" t="inlineStr">
        <is>
          <t>A 23370-2023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46279</v>
      </c>
      <c r="F29" t="inlineStr">
        <is>
          <t>JÖNKÖPINGS LÄN</t>
        </is>
      </c>
      <c r="G29" t="inlineStr">
        <is>
          <t>VÄRNAMO</t>
        </is>
      </c>
      <c r="I29" t="n">
        <v>4.7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Slåttergubbe</t>
        </is>
      </c>
      <c r="W29">
        <f>HYPERLINK("https://klasma.github.io/Logging_0683/artfynd/A 23370-2023 artfynd.xlsx", "A 23370-2023")</f>
        <v/>
      </c>
      <c r="X29">
        <f>HYPERLINK("https://klasma.github.io/Logging_0683/kartor/A 23370-2023 karta.png", "A 23370-2023")</f>
        <v/>
      </c>
      <c r="Y29">
        <f>HYPERLINK("https://klasma.github.io/Logging_0683/kartor_geotiff/A 23370-2023 georefererad karta.tif", "A 23370-2023")</f>
        <v/>
      </c>
      <c r="AA29">
        <f>HYPERLINK("https://klasma.github.io/Logging_0683/klagomål/A 23370-2023 FSC-klagomål.docx", "A 23370-2023")</f>
        <v/>
      </c>
      <c r="AB29">
        <f>HYPERLINK("https://klasma.github.io/Logging_0683/klagomålsmail/A 23370-2023 FSC-klagomål mail.docx", "A 23370-2023")</f>
        <v/>
      </c>
      <c r="AC29">
        <f>HYPERLINK("https://klasma.github.io/Logging_0683/tillsyn/A 23370-2023 tillsynsbegäran.docx", "A 23370-2023")</f>
        <v/>
      </c>
      <c r="AD29">
        <f>HYPERLINK("https://klasma.github.io/Logging_0683/tillsynsmail/A 23370-2023 tillsynsbegäran mail.docx", "A 23370-2023")</f>
        <v/>
      </c>
    </row>
    <row r="30" ht="15" customHeight="1">
      <c r="A30" t="inlineStr">
        <is>
          <t>A 9042-2025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46279</v>
      </c>
      <c r="F30" t="inlineStr">
        <is>
          <t>JÖNKÖPINGS LÄN</t>
        </is>
      </c>
      <c r="G30" t="inlineStr">
        <is>
          <t>VÄRNAMO</t>
        </is>
      </c>
      <c r="H30" t="inlineStr">
        <is>
          <t>Sveaskog</t>
        </is>
      </c>
      <c r="I30" t="n">
        <v>3.9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Lönnsavblomfluga</t>
        </is>
      </c>
      <c r="W30">
        <f>HYPERLINK("https://klasma.github.io/Logging_0683/artfynd/A 9042-2025 artfynd.xlsx", "A 9042-2025")</f>
        <v/>
      </c>
      <c r="X30">
        <f>HYPERLINK("https://klasma.github.io/Logging_0683/kartor/A 9042-2025 karta.png", "A 9042-2025")</f>
        <v/>
      </c>
      <c r="Y30">
        <f>HYPERLINK("https://klasma.github.io/Logging_0683/kartor_geotiff/A 9042-2025 georefererad karta.tif", "A 9042-2025")</f>
        <v/>
      </c>
      <c r="AA30">
        <f>HYPERLINK("https://klasma.github.io/Logging_0683/klagomål/A 9042-2025 FSC-klagomål.docx", "A 9042-2025")</f>
        <v/>
      </c>
      <c r="AB30">
        <f>HYPERLINK("https://klasma.github.io/Logging_0683/klagomålsmail/A 9042-2025 FSC-klagomål mail.docx", "A 9042-2025")</f>
        <v/>
      </c>
      <c r="AC30">
        <f>HYPERLINK("https://klasma.github.io/Logging_0683/tillsyn/A 9042-2025 tillsynsbegäran.docx", "A 9042-2025")</f>
        <v/>
      </c>
      <c r="AD30">
        <f>HYPERLINK("https://klasma.github.io/Logging_0683/tillsynsmail/A 9042-2025 tillsynsbegäran mail.docx", "A 9042-2025")</f>
        <v/>
      </c>
    </row>
    <row r="31" ht="15" customHeight="1">
      <c r="A31" t="inlineStr">
        <is>
          <t>A 61264-2023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45264</v>
      </c>
      <c r="E31" s="1" t="n">
        <v>46279</v>
      </c>
      <c r="F31" t="inlineStr">
        <is>
          <t>JÖNKÖPINGS LÄN</t>
        </is>
      </c>
      <c r="G31" t="inlineStr">
        <is>
          <t>VÄRNAMO</t>
        </is>
      </c>
      <c r="I31" t="n">
        <v>1.3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Gullpudra</t>
        </is>
      </c>
      <c r="W31">
        <f>HYPERLINK("https://klasma.github.io/Logging_0683/artfynd/A 61264-2023 artfynd.xlsx", "A 61264-2023")</f>
        <v/>
      </c>
      <c r="X31">
        <f>HYPERLINK("https://klasma.github.io/Logging_0683/kartor/A 61264-2023 karta.png", "A 61264-2023")</f>
        <v/>
      </c>
      <c r="Y31">
        <f>HYPERLINK("https://klasma.github.io/Logging_0683/kartor_geotiff/A 61264-2023 georefererad karta.tif", "A 61264-2023")</f>
        <v/>
      </c>
      <c r="AA31">
        <f>HYPERLINK("https://klasma.github.io/Logging_0683/klagomål/A 61264-2023 FSC-klagomål.docx", "A 61264-2023")</f>
        <v/>
      </c>
      <c r="AB31">
        <f>HYPERLINK("https://klasma.github.io/Logging_0683/klagomålsmail/A 61264-2023 FSC-klagomål mail.docx", "A 61264-2023")</f>
        <v/>
      </c>
      <c r="AC31">
        <f>HYPERLINK("https://klasma.github.io/Logging_0683/tillsyn/A 61264-2023 tillsynsbegäran.docx", "A 61264-2023")</f>
        <v/>
      </c>
      <c r="AD31">
        <f>HYPERLINK("https://klasma.github.io/Logging_0683/tillsynsmail/A 61264-2023 tillsynsbegäran mail.docx", "A 61264-2023")</f>
        <v/>
      </c>
    </row>
    <row r="32" ht="15" customHeight="1">
      <c r="A32" t="inlineStr">
        <is>
          <t>A 27295-2026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46188</v>
      </c>
      <c r="E32" s="1" t="n">
        <v>46279</v>
      </c>
      <c r="F32" t="inlineStr">
        <is>
          <t>JÖNKÖPINGS LÄN</t>
        </is>
      </c>
      <c r="G32" t="inlineStr">
        <is>
          <t>VÄRNAMO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HYPERLINK("https://klasma.github.io/Logging_0683/artfynd/A 27295-2026 artfynd.xlsx", "A 27295-2026")</f>
        <v/>
      </c>
      <c r="X32">
        <f>HYPERLINK("https://klasma.github.io/Logging_0683/kartor/A 27295-2026 karta.png", "A 27295-2026")</f>
        <v/>
      </c>
      <c r="Y32">
        <f>HYPERLINK("https://klasma.github.io/Logging_0683/kartor_geotiff/A 27295-2026 georefererad karta.tif", "A 27295-2026")</f>
        <v/>
      </c>
      <c r="AA32">
        <f>HYPERLINK("https://klasma.github.io/Logging_0683/klagomål/A 27295-2026 FSC-klagomål.docx", "A 27295-2026")</f>
        <v/>
      </c>
      <c r="AB32">
        <f>HYPERLINK("https://klasma.github.io/Logging_0683/klagomålsmail/A 27295-2026 FSC-klagomål mail.docx", "A 27295-2026")</f>
        <v/>
      </c>
      <c r="AC32">
        <f>HYPERLINK("https://klasma.github.io/Logging_0683/tillsyn/A 27295-2026 tillsynsbegäran.docx", "A 27295-2026")</f>
        <v/>
      </c>
      <c r="AD32">
        <f>HYPERLINK("https://klasma.github.io/Logging_0683/tillsynsmail/A 27295-2026 tillsynsbegäran mail.docx", "A 27295-2026")</f>
        <v/>
      </c>
    </row>
    <row r="33" ht="15" customHeight="1">
      <c r="A33" t="inlineStr">
        <is>
          <t>A 48887-2023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45209</v>
      </c>
      <c r="E33" s="1" t="n">
        <v>46279</v>
      </c>
      <c r="F33" t="inlineStr">
        <is>
          <t>JÖNKÖPINGS LÄN</t>
        </is>
      </c>
      <c r="G33" t="inlineStr">
        <is>
          <t>VÄRNAMO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Ask</t>
        </is>
      </c>
      <c r="W33">
        <f>HYPERLINK("https://klasma.github.io/Logging_0683/artfynd/A 48887-2023 artfynd.xlsx", "A 48887-2023")</f>
        <v/>
      </c>
      <c r="X33">
        <f>HYPERLINK("https://klasma.github.io/Logging_0683/kartor/A 48887-2023 karta.png", "A 48887-2023")</f>
        <v/>
      </c>
      <c r="Y33">
        <f>HYPERLINK("https://klasma.github.io/Logging_0683/kartor_geotiff/A 48887-2023 georefererad karta.tif", "A 48887-2023")</f>
        <v/>
      </c>
      <c r="AA33">
        <f>HYPERLINK("https://klasma.github.io/Logging_0683/klagomål/A 48887-2023 FSC-klagomål.docx", "A 48887-2023")</f>
        <v/>
      </c>
      <c r="AB33">
        <f>HYPERLINK("https://klasma.github.io/Logging_0683/klagomålsmail/A 48887-2023 FSC-klagomål mail.docx", "A 48887-2023")</f>
        <v/>
      </c>
      <c r="AC33">
        <f>HYPERLINK("https://klasma.github.io/Logging_0683/tillsyn/A 48887-2023 tillsynsbegäran.docx", "A 48887-2023")</f>
        <v/>
      </c>
      <c r="AD33">
        <f>HYPERLINK("https://klasma.github.io/Logging_0683/tillsynsmail/A 48887-2023 tillsynsbegäran mail.docx", "A 48887-2023")</f>
        <v/>
      </c>
    </row>
    <row r="34" ht="15" customHeight="1">
      <c r="A34" t="inlineStr">
        <is>
          <t>A 5761-2024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45335</v>
      </c>
      <c r="E34" s="1" t="n">
        <v>46279</v>
      </c>
      <c r="F34" t="inlineStr">
        <is>
          <t>JÖNKÖPINGS LÄN</t>
        </is>
      </c>
      <c r="G34" t="inlineStr">
        <is>
          <t>VÄRNAMO</t>
        </is>
      </c>
      <c r="I34" t="n">
        <v>0.5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HYPERLINK("https://klasma.github.io/Logging_0683/artfynd/A 5761-2024 artfynd.xlsx", "A 5761-2024")</f>
        <v/>
      </c>
      <c r="X34">
        <f>HYPERLINK("https://klasma.github.io/Logging_0683/kartor/A 5761-2024 karta.png", "A 5761-2024")</f>
        <v/>
      </c>
      <c r="Y34">
        <f>HYPERLINK("https://klasma.github.io/Logging_0683/kartor_geotiff/A 5761-2024 georefererad karta.tif", "A 5761-2024")</f>
        <v/>
      </c>
      <c r="AA34">
        <f>HYPERLINK("https://klasma.github.io/Logging_0683/klagomål/A 5761-2024 FSC-klagomål.docx", "A 5761-2024")</f>
        <v/>
      </c>
      <c r="AB34">
        <f>HYPERLINK("https://klasma.github.io/Logging_0683/klagomålsmail/A 5761-2024 FSC-klagomål mail.docx", "A 5761-2024")</f>
        <v/>
      </c>
      <c r="AC34">
        <f>HYPERLINK("https://klasma.github.io/Logging_0683/tillsyn/A 5761-2024 tillsynsbegäran.docx", "A 5761-2024")</f>
        <v/>
      </c>
      <c r="AD34">
        <f>HYPERLINK("https://klasma.github.io/Logging_0683/tillsynsmail/A 5761-2024 tillsynsbegäran mail.docx", "A 5761-2024")</f>
        <v/>
      </c>
    </row>
    <row r="35" ht="15" customHeight="1">
      <c r="A35" t="inlineStr">
        <is>
          <t>A 28002-2026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46195</v>
      </c>
      <c r="E35" s="1" t="n">
        <v>46279</v>
      </c>
      <c r="F35" t="inlineStr">
        <is>
          <t>JÖNKÖPINGS LÄN</t>
        </is>
      </c>
      <c r="G35" t="inlineStr">
        <is>
          <t>VÄRNAMO</t>
        </is>
      </c>
      <c r="H35" t="inlineStr">
        <is>
          <t>Sveaskog</t>
        </is>
      </c>
      <c r="I35" t="n">
        <v>26.9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4</v>
      </c>
      <c r="U35" t="n">
        <v>0</v>
      </c>
      <c r="V35" s="2" t="inlineStr">
        <is>
          <t>Rostfläck</t>
        </is>
      </c>
      <c r="W35">
        <f>HYPERLINK("https://klasma.github.io/Logging_0683/artfynd/A 28002-2026 artfynd.xlsx", "A 28002-2026")</f>
        <v/>
      </c>
      <c r="X35">
        <f>HYPERLINK("https://klasma.github.io/Logging_0683/kartor/A 28002-2026 karta.png", "A 28002-2026")</f>
        <v/>
      </c>
      <c r="Y35">
        <f>HYPERLINK("https://klasma.github.io/Logging_0683/kartor_geotiff/A 28002-2026 georefererad karta.tif", "A 28002-2026")</f>
        <v/>
      </c>
      <c r="AA35">
        <f>HYPERLINK("https://klasma.github.io/Logging_0683/klagomål/A 28002-2026 FSC-klagomål.docx", "A 28002-2026")</f>
        <v/>
      </c>
      <c r="AB35">
        <f>HYPERLINK("https://klasma.github.io/Logging_0683/klagomålsmail/A 28002-2026 FSC-klagomål mail.docx", "A 28002-2026")</f>
        <v/>
      </c>
      <c r="AC35">
        <f>HYPERLINK("https://klasma.github.io/Logging_0683/tillsyn/A 28002-2026 tillsynsbegäran.docx", "A 28002-2026")</f>
        <v/>
      </c>
      <c r="AD35">
        <f>HYPERLINK("https://klasma.github.io/Logging_0683/tillsynsmail/A 28002-2026 tillsynsbegäran mail.docx", "A 28002-2026")</f>
        <v/>
      </c>
    </row>
    <row r="36" ht="15" customHeight="1">
      <c r="A36" t="inlineStr">
        <is>
          <t>A 19078-2025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45766</v>
      </c>
      <c r="E36" s="1" t="n">
        <v>46279</v>
      </c>
      <c r="F36" t="inlineStr">
        <is>
          <t>JÖNKÖPINGS LÄN</t>
        </is>
      </c>
      <c r="G36" t="inlineStr">
        <is>
          <t>VÄRNAMO</t>
        </is>
      </c>
      <c r="I36" t="n">
        <v>6.4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HYPERLINK("https://klasma.github.io/Logging_0683/artfynd/A 19078-2025 artfynd.xlsx", "A 19078-2025")</f>
        <v/>
      </c>
      <c r="X36">
        <f>HYPERLINK("https://klasma.github.io/Logging_0683/kartor/A 19078-2025 karta.png", "A 19078-2025")</f>
        <v/>
      </c>
      <c r="Y36">
        <f>HYPERLINK("https://klasma.github.io/Logging_0683/kartor_geotiff/A 19078-2025 georefererad karta.tif", "A 19078-2025")</f>
        <v/>
      </c>
      <c r="Z36">
        <f>HYPERLINK("https://klasma.github.io/Logging_0683/knärot/A 19078-2025 karta knärot.png", "A 19078-2025")</f>
        <v/>
      </c>
      <c r="AA36">
        <f>HYPERLINK("https://klasma.github.io/Logging_0683/klagomål/A 19078-2025 FSC-klagomål.docx", "A 19078-2025")</f>
        <v/>
      </c>
      <c r="AB36">
        <f>HYPERLINK("https://klasma.github.io/Logging_0683/klagomålsmail/A 19078-2025 FSC-klagomål mail.docx", "A 19078-2025")</f>
        <v/>
      </c>
      <c r="AC36">
        <f>HYPERLINK("https://klasma.github.io/Logging_0683/tillsyn/A 19078-2025 tillsynsbegäran.docx", "A 19078-2025")</f>
        <v/>
      </c>
      <c r="AD36">
        <f>HYPERLINK("https://klasma.github.io/Logging_0683/tillsynsmail/A 19078-2025 tillsynsbegäran mail.docx", "A 19078-2025")</f>
        <v/>
      </c>
    </row>
    <row r="37" ht="15" customHeight="1">
      <c r="A37" t="inlineStr">
        <is>
          <t>A 36222-2026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46268</v>
      </c>
      <c r="E37" s="1" t="n">
        <v>46279</v>
      </c>
      <c r="F37" t="inlineStr">
        <is>
          <t>JÖNKÖPINGS LÄN</t>
        </is>
      </c>
      <c r="G37" t="inlineStr">
        <is>
          <t>VÄRNAMO</t>
        </is>
      </c>
      <c r="I37" t="n">
        <v>4.2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Borsttåg</t>
        </is>
      </c>
      <c r="W37">
        <f>HYPERLINK("https://klasma.github.io/Logging_0683/artfynd/A 36222-2026 artfynd.xlsx", "A 36222-2026")</f>
        <v/>
      </c>
      <c r="X37">
        <f>HYPERLINK("https://klasma.github.io/Logging_0683/kartor/A 36222-2026 karta.png", "A 36222-2026")</f>
        <v/>
      </c>
      <c r="Y37">
        <f>HYPERLINK("https://klasma.github.io/Logging_0683/kartor_geotiff/A 36222-2026 georefererad karta.tif", "A 36222-2026")</f>
        <v/>
      </c>
      <c r="AA37">
        <f>HYPERLINK("https://klasma.github.io/Logging_0683/klagomål/A 36222-2026 FSC-klagomål.docx", "A 36222-2026")</f>
        <v/>
      </c>
      <c r="AB37">
        <f>HYPERLINK("https://klasma.github.io/Logging_0683/klagomålsmail/A 36222-2026 FSC-klagomål mail.docx", "A 36222-2026")</f>
        <v/>
      </c>
      <c r="AC37">
        <f>HYPERLINK("https://klasma.github.io/Logging_0683/tillsyn/A 36222-2026 tillsynsbegäran.docx", "A 36222-2026")</f>
        <v/>
      </c>
      <c r="AD37">
        <f>HYPERLINK("https://klasma.github.io/Logging_0683/tillsynsmail/A 36222-2026 tillsynsbegäran mail.docx", "A 36222-2026")</f>
        <v/>
      </c>
    </row>
    <row r="38" ht="15" customHeight="1">
      <c r="A38" t="inlineStr">
        <is>
          <t>A 37198-2024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45539</v>
      </c>
      <c r="E38" s="1" t="n">
        <v>46279</v>
      </c>
      <c r="F38" t="inlineStr">
        <is>
          <t>JÖNKÖPINGS LÄN</t>
        </is>
      </c>
      <c r="G38" t="inlineStr">
        <is>
          <t>VÄRNAMO</t>
        </is>
      </c>
      <c r="I38" t="n">
        <v>2.1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HYPERLINK("https://klasma.github.io/Logging_0683/artfynd/A 37198-2024 artfynd.xlsx", "A 37198-2024")</f>
        <v/>
      </c>
      <c r="X38">
        <f>HYPERLINK("https://klasma.github.io/Logging_0683/kartor/A 37198-2024 karta.png", "A 37198-2024")</f>
        <v/>
      </c>
      <c r="Y38">
        <f>HYPERLINK("https://klasma.github.io/Logging_0683/kartor_geotiff/A 37198-2024 georefererad karta.tif", "A 37198-2024")</f>
        <v/>
      </c>
      <c r="AA38">
        <f>HYPERLINK("https://klasma.github.io/Logging_0683/klagomål/A 37198-2024 FSC-klagomål.docx", "A 37198-2024")</f>
        <v/>
      </c>
      <c r="AB38">
        <f>HYPERLINK("https://klasma.github.io/Logging_0683/klagomålsmail/A 37198-2024 FSC-klagomål mail.docx", "A 37198-2024")</f>
        <v/>
      </c>
      <c r="AC38">
        <f>HYPERLINK("https://klasma.github.io/Logging_0683/tillsyn/A 37198-2024 tillsynsbegäran.docx", "A 37198-2024")</f>
        <v/>
      </c>
      <c r="AD38">
        <f>HYPERLINK("https://klasma.github.io/Logging_0683/tillsynsmail/A 37198-2024 tillsynsbegäran mail.docx", "A 37198-2024")</f>
        <v/>
      </c>
    </row>
    <row r="39" ht="15" customHeight="1">
      <c r="A39" t="inlineStr">
        <is>
          <t>S 1545-2020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43980</v>
      </c>
      <c r="E39" s="1" t="n">
        <v>46279</v>
      </c>
      <c r="F39" t="inlineStr">
        <is>
          <t>JÖNKÖPINGS LÄN</t>
        </is>
      </c>
      <c r="G39" t="inlineStr">
        <is>
          <t>VÄRNAMO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Underviol</t>
        </is>
      </c>
      <c r="W39">
        <f>HYPERLINK("https://klasma.github.io/Logging_0683/artfynd/S 1545-2020 artfynd.xlsx", "S 1545-2020")</f>
        <v/>
      </c>
      <c r="X39">
        <f>HYPERLINK("https://klasma.github.io/Logging_0683/kartor/S 1545-2020 karta.png", "S 1545-2020")</f>
        <v/>
      </c>
      <c r="Y39">
        <f>HYPERLINK("https://klasma.github.io/Logging_0683/kartor_geotiff/S 1545-2020 georefererad karta.tif", "S 1545-2020")</f>
        <v/>
      </c>
      <c r="AA39">
        <f>HYPERLINK("https://klasma.github.io/Logging_0683/klagomål/S 1545-2020 FSC-klagomål.docx", "S 1545-2020")</f>
        <v/>
      </c>
      <c r="AB39">
        <f>HYPERLINK("https://klasma.github.io/Logging_0683/klagomålsmail/S 1545-2020 FSC-klagomål mail.docx", "S 1545-2020")</f>
        <v/>
      </c>
      <c r="AC39">
        <f>HYPERLINK("https://klasma.github.io/Logging_0683/tillsyn/S 1545-2020 tillsynsbegäran.docx", "S 1545-2020")</f>
        <v/>
      </c>
      <c r="AD39">
        <f>HYPERLINK("https://klasma.github.io/Logging_0683/tillsynsmail/S 1545-2020 tillsynsbegäran mail.docx", "S 1545-2020")</f>
        <v/>
      </c>
    </row>
    <row r="40" ht="15" customHeight="1">
      <c r="A40" t="inlineStr">
        <is>
          <t>S 1452-2024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45418</v>
      </c>
      <c r="E40" s="1" t="n">
        <v>46279</v>
      </c>
      <c r="F40" t="inlineStr">
        <is>
          <t>JÖNKÖPINGS LÄN</t>
        </is>
      </c>
      <c r="G40" t="inlineStr">
        <is>
          <t>VÄRNAMO</t>
        </is>
      </c>
      <c r="I40" t="n">
        <v>24.8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Borsttåg</t>
        </is>
      </c>
      <c r="W40">
        <f>HYPERLINK("https://klasma.github.io/Logging_0683/artfynd/S 1452-2024 artfynd.xlsx", "S 1452-2024")</f>
        <v/>
      </c>
      <c r="X40">
        <f>HYPERLINK("https://klasma.github.io/Logging_0683/kartor/S 1452-2024 karta.png", "S 1452-2024")</f>
        <v/>
      </c>
      <c r="Y40">
        <f>HYPERLINK("https://klasma.github.io/Logging_0683/kartor_geotiff/S 1452-2024 georefererad karta.tif", "S 1452-2024")</f>
        <v/>
      </c>
      <c r="AA40">
        <f>HYPERLINK("https://klasma.github.io/Logging_0683/klagomål/S 1452-2024 FSC-klagomål.docx", "S 1452-2024")</f>
        <v/>
      </c>
      <c r="AB40">
        <f>HYPERLINK("https://klasma.github.io/Logging_0683/klagomålsmail/S 1452-2024 FSC-klagomål mail.docx", "S 1452-2024")</f>
        <v/>
      </c>
      <c r="AC40">
        <f>HYPERLINK("https://klasma.github.io/Logging_0683/tillsyn/S 1452-2024 tillsynsbegäran.docx", "S 1452-2024")</f>
        <v/>
      </c>
      <c r="AD40">
        <f>HYPERLINK("https://klasma.github.io/Logging_0683/tillsynsmail/S 1452-2024 tillsynsbegäran mail.docx", "S 1452-2024")</f>
        <v/>
      </c>
    </row>
    <row r="41" ht="15" customHeight="1">
      <c r="A41" t="inlineStr">
        <is>
          <t>S 3469-2025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46279</v>
      </c>
      <c r="F41" t="inlineStr">
        <is>
          <t>JÖNKÖPINGS LÄN</t>
        </is>
      </c>
      <c r="G41" t="inlineStr">
        <is>
          <t>VÄRNAMO</t>
        </is>
      </c>
      <c r="I41" t="n">
        <v>70.2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Slåtterfibbla</t>
        </is>
      </c>
      <c r="W41">
        <f>HYPERLINK("https://klasma.github.io/Logging_0683/artfynd/S 3469-2025 artfynd.xlsx", "S 3469-2025")</f>
        <v/>
      </c>
      <c r="X41">
        <f>HYPERLINK("https://klasma.github.io/Logging_0683/kartor/S 3469-2025 karta.png", "S 3469-2025")</f>
        <v/>
      </c>
      <c r="Y41">
        <f>HYPERLINK("https://klasma.github.io/Logging_0683/kartor_geotiff/S 3469-2025 georefererad karta.tif", "S 3469-2025")</f>
        <v/>
      </c>
      <c r="AA41">
        <f>HYPERLINK("https://klasma.github.io/Logging_0683/klagomål/S 3469-2025 FSC-klagomål.docx", "S 3469-2025")</f>
        <v/>
      </c>
      <c r="AB41">
        <f>HYPERLINK("https://klasma.github.io/Logging_0683/klagomålsmail/S 3469-2025 FSC-klagomål mail.docx", "S 3469-2025")</f>
        <v/>
      </c>
      <c r="AC41">
        <f>HYPERLINK("https://klasma.github.io/Logging_0683/tillsyn/S 3469-2025 tillsynsbegäran.docx", "S 3469-2025")</f>
        <v/>
      </c>
      <c r="AD41">
        <f>HYPERLINK("https://klasma.github.io/Logging_0683/tillsynsmail/S 3469-2025 tillsynsbegäran mail.docx", "S 3469-2025")</f>
        <v/>
      </c>
    </row>
    <row r="42" ht="15" customHeight="1">
      <c r="A42" t="inlineStr">
        <is>
          <t>S 3470-2025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46279</v>
      </c>
      <c r="F42" t="inlineStr">
        <is>
          <t>JÖNKÖPINGS LÄN</t>
        </is>
      </c>
      <c r="G42" t="inlineStr">
        <is>
          <t>VÄRNAMO</t>
        </is>
      </c>
      <c r="H42" t="inlineStr">
        <is>
          <t>Kommuner</t>
        </is>
      </c>
      <c r="I42" t="n">
        <v>7.5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Västlig hakmossa</t>
        </is>
      </c>
      <c r="W42">
        <f>HYPERLINK("https://klasma.github.io/Logging_0683/artfynd/S 3470-2025 artfynd.xlsx", "S 3470-2025")</f>
        <v/>
      </c>
      <c r="X42">
        <f>HYPERLINK("https://klasma.github.io/Logging_0683/kartor/S 3470-2025 karta.png", "S 3470-2025")</f>
        <v/>
      </c>
      <c r="Y42">
        <f>HYPERLINK("https://klasma.github.io/Logging_0683/kartor_geotiff/S 3470-2025 georefererad karta.tif", "S 3470-2025")</f>
        <v/>
      </c>
      <c r="AA42">
        <f>HYPERLINK("https://klasma.github.io/Logging_0683/klagomål/S 3470-2025 FSC-klagomål.docx", "S 3470-2025")</f>
        <v/>
      </c>
      <c r="AB42">
        <f>HYPERLINK("https://klasma.github.io/Logging_0683/klagomålsmail/S 3470-2025 FSC-klagomål mail.docx", "S 3470-2025")</f>
        <v/>
      </c>
      <c r="AC42">
        <f>HYPERLINK("https://klasma.github.io/Logging_0683/tillsyn/S 3470-2025 tillsynsbegäran.docx", "S 3470-2025")</f>
        <v/>
      </c>
      <c r="AD42">
        <f>HYPERLINK("https://klasma.github.io/Logging_0683/tillsynsmail/S 3470-2025 tillsynsbegäran mail.docx", "S 3470-2025")</f>
        <v/>
      </c>
    </row>
    <row r="43" ht="15" customHeight="1">
      <c r="A43" t="inlineStr">
        <is>
          <t>S 2235-2026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46260</v>
      </c>
      <c r="E43" s="1" t="n">
        <v>46279</v>
      </c>
      <c r="F43" t="inlineStr">
        <is>
          <t>JÖNKÖPINGS LÄN</t>
        </is>
      </c>
      <c r="G43" t="inlineStr">
        <is>
          <t>VÄRNAMO</t>
        </is>
      </c>
      <c r="I43" t="n">
        <v>2.6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HYPERLINK("https://klasma.github.io/Logging_0683/artfynd/S 2235-2026 artfynd.xlsx", "S 2235-2026")</f>
        <v/>
      </c>
      <c r="X43">
        <f>HYPERLINK("https://klasma.github.io/Logging_0683/kartor/S 2235-2026 karta.png", "S 2235-2026")</f>
        <v/>
      </c>
      <c r="Y43">
        <f>HYPERLINK("https://klasma.github.io/Logging_0683/kartor_geotiff/S 2235-2026 georefererad karta.tif", "S 2235-2026")</f>
        <v/>
      </c>
      <c r="AA43">
        <f>HYPERLINK("https://klasma.github.io/Logging_0683/klagomål/S 2235-2026 FSC-klagomål.docx", "S 2235-2026")</f>
        <v/>
      </c>
      <c r="AB43">
        <f>HYPERLINK("https://klasma.github.io/Logging_0683/klagomålsmail/S 2235-2026 FSC-klagomål mail.docx", "S 2235-2026")</f>
        <v/>
      </c>
      <c r="AC43">
        <f>HYPERLINK("https://klasma.github.io/Logging_0683/tillsyn/S 2235-2026 tillsynsbegäran.docx", "S 2235-2026")</f>
        <v/>
      </c>
      <c r="AD43">
        <f>HYPERLINK("https://klasma.github.io/Logging_0683/tillsynsmail/S 2235-2026 tillsynsbegäran mail.docx", "S 2235-2026")</f>
        <v/>
      </c>
    </row>
    <row r="44" ht="15" customHeight="1">
      <c r="A44" t="inlineStr">
        <is>
          <t>A 6758-2022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46279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46279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11016-2022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46279</v>
      </c>
      <c r="F46" t="inlineStr">
        <is>
          <t>JÖNKÖPINGS LÄN</t>
        </is>
      </c>
      <c r="G46" t="inlineStr">
        <is>
          <t>VÄRNAMO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11199-2022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44629</v>
      </c>
      <c r="E47" s="1" t="n">
        <v>46279</v>
      </c>
      <c r="F47" t="inlineStr">
        <is>
          <t>JÖNKÖPINGS LÄN</t>
        </is>
      </c>
      <c r="G47" t="inlineStr">
        <is>
          <t>VÄRNAMO</t>
        </is>
      </c>
      <c r="H47" t="inlineStr">
        <is>
          <t>Kyrkan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47313-2022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44853</v>
      </c>
      <c r="E48" s="1" t="n">
        <v>46279</v>
      </c>
      <c r="F48" t="inlineStr">
        <is>
          <t>JÖNKÖPINGS LÄN</t>
        </is>
      </c>
      <c r="G48" t="inlineStr">
        <is>
          <t>VÄRNAMO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44788</v>
      </c>
      <c r="E49" s="1" t="n">
        <v>46279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53402-2021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44468</v>
      </c>
      <c r="E50" s="1" t="n">
        <v>46279</v>
      </c>
      <c r="F50" t="inlineStr">
        <is>
          <t>JÖNKÖPINGS LÄN</t>
        </is>
      </c>
      <c r="G50" t="inlineStr">
        <is>
          <t>VÄRNAMO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50519-2021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46279</v>
      </c>
      <c r="F51" t="inlineStr">
        <is>
          <t>JÖNKÖPINGS LÄN</t>
        </is>
      </c>
      <c r="G51" t="inlineStr">
        <is>
          <t>VÄRNAMO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46279</v>
      </c>
      <c r="F52" t="inlineStr">
        <is>
          <t>JÖNKÖPINGS LÄN</t>
        </is>
      </c>
      <c r="G52" t="inlineStr">
        <is>
          <t>VÄRNAMO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74126-2021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44557</v>
      </c>
      <c r="E53" s="1" t="n">
        <v>46279</v>
      </c>
      <c r="F53" t="inlineStr">
        <is>
          <t>JÖNKÖPINGS LÄN</t>
        </is>
      </c>
      <c r="G53" t="inlineStr">
        <is>
          <t>VÄRNAMO</t>
        </is>
      </c>
      <c r="H53" t="inlineStr">
        <is>
          <t>Sveaskog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44608</v>
      </c>
      <c r="E54" s="1" t="n">
        <v>46279</v>
      </c>
      <c r="F54" t="inlineStr">
        <is>
          <t>JÖNKÖPINGS LÄN</t>
        </is>
      </c>
      <c r="G54" t="inlineStr">
        <is>
          <t>VÄRNAMO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53583-2022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44879</v>
      </c>
      <c r="E55" s="1" t="n">
        <v>46279</v>
      </c>
      <c r="F55" t="inlineStr">
        <is>
          <t>JÖNKÖPINGS LÄN</t>
        </is>
      </c>
      <c r="G55" t="inlineStr">
        <is>
          <t>VÄRNAMO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47073-2022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44852</v>
      </c>
      <c r="E56" s="1" t="n">
        <v>46279</v>
      </c>
      <c r="F56" t="inlineStr">
        <is>
          <t>JÖNKÖPINGS LÄN</t>
        </is>
      </c>
      <c r="G56" t="inlineStr">
        <is>
          <t>VÄRNAMO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56500-2021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44480</v>
      </c>
      <c r="E57" s="1" t="n">
        <v>46279</v>
      </c>
      <c r="F57" t="inlineStr">
        <is>
          <t>JÖNKÖPINGS LÄN</t>
        </is>
      </c>
      <c r="G57" t="inlineStr">
        <is>
          <t>VÄRNAMO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67328-2021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46279</v>
      </c>
      <c r="F58" t="inlineStr">
        <is>
          <t>JÖNKÖPINGS LÄN</t>
        </is>
      </c>
      <c r="G58" t="inlineStr">
        <is>
          <t>VÄRNAMO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46279</v>
      </c>
      <c r="F59" t="inlineStr">
        <is>
          <t>JÖNKÖPINGS LÄN</t>
        </is>
      </c>
      <c r="G59" t="inlineStr">
        <is>
          <t>VÄRNAMO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46279</v>
      </c>
      <c r="F60" t="inlineStr">
        <is>
          <t>JÖNKÖPINGS LÄN</t>
        </is>
      </c>
      <c r="G60" t="inlineStr">
        <is>
          <t>VÄRNAMO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44770</v>
      </c>
      <c r="E61" s="1" t="n">
        <v>46279</v>
      </c>
      <c r="F61" t="inlineStr">
        <is>
          <t>JÖNKÖPINGS LÄN</t>
        </is>
      </c>
      <c r="G61" t="inlineStr">
        <is>
          <t>VÄRNAMO</t>
        </is>
      </c>
      <c r="H61" t="inlineStr">
        <is>
          <t>Kommuner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74263-2021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44558</v>
      </c>
      <c r="E62" s="1" t="n">
        <v>46279</v>
      </c>
      <c r="F62" t="inlineStr">
        <is>
          <t>JÖNKÖPINGS LÄN</t>
        </is>
      </c>
      <c r="G62" t="inlineStr">
        <is>
          <t>VÄRNAMO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46279</v>
      </c>
      <c r="F63" t="inlineStr">
        <is>
          <t>JÖNKÖPINGS LÄN</t>
        </is>
      </c>
      <c r="G63" t="inlineStr">
        <is>
          <t>VÄRNAMO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46279</v>
      </c>
      <c r="F64" t="inlineStr">
        <is>
          <t>JÖNKÖPINGS LÄN</t>
        </is>
      </c>
      <c r="G64" t="inlineStr">
        <is>
          <t>VÄRNAMO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25179-2022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44729</v>
      </c>
      <c r="E65" s="1" t="n">
        <v>46279</v>
      </c>
      <c r="F65" t="inlineStr">
        <is>
          <t>JÖNKÖPINGS LÄN</t>
        </is>
      </c>
      <c r="G65" t="inlineStr">
        <is>
          <t>VÄRNAMO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29423-2022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44753</v>
      </c>
      <c r="E66" s="1" t="n">
        <v>46279</v>
      </c>
      <c r="F66" t="inlineStr">
        <is>
          <t>JÖNKÖPINGS LÄN</t>
        </is>
      </c>
      <c r="G66" t="inlineStr">
        <is>
          <t>VÄRNAMO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46279</v>
      </c>
      <c r="F67" t="inlineStr">
        <is>
          <t>JÖNKÖPINGS LÄN</t>
        </is>
      </c>
      <c r="G67" t="inlineStr">
        <is>
          <t>VÄRNAMO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46279</v>
      </c>
      <c r="F68" t="inlineStr">
        <is>
          <t>JÖNKÖPINGS LÄN</t>
        </is>
      </c>
      <c r="G68" t="inlineStr">
        <is>
          <t>VÄRNAMO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46279</v>
      </c>
      <c r="F69" t="inlineStr">
        <is>
          <t>JÖNKÖPINGS LÄN</t>
        </is>
      </c>
      <c r="G69" t="inlineStr">
        <is>
          <t>VÄRNAMO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44607</v>
      </c>
      <c r="E70" s="1" t="n">
        <v>46279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11253-2022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44629</v>
      </c>
      <c r="E71" s="1" t="n">
        <v>46279</v>
      </c>
      <c r="F71" t="inlineStr">
        <is>
          <t>JÖNKÖPINGS LÄN</t>
        </is>
      </c>
      <c r="G71" t="inlineStr">
        <is>
          <t>VÄRNAMO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60589-2021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44496</v>
      </c>
      <c r="E72" s="1" t="n">
        <v>46279</v>
      </c>
      <c r="F72" t="inlineStr">
        <is>
          <t>JÖNKÖPINGS LÄN</t>
        </is>
      </c>
      <c r="G72" t="inlineStr">
        <is>
          <t>VÄRNAMO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44456</v>
      </c>
      <c r="E73" s="1" t="n">
        <v>46279</v>
      </c>
      <c r="F73" t="inlineStr">
        <is>
          <t>JÖNKÖPINGS LÄN</t>
        </is>
      </c>
      <c r="G73" t="inlineStr">
        <is>
          <t>VÄRNAMO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54477-2021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44473</v>
      </c>
      <c r="E74" s="1" t="n">
        <v>46279</v>
      </c>
      <c r="F74" t="inlineStr">
        <is>
          <t>JÖNKÖPINGS LÄN</t>
        </is>
      </c>
      <c r="G74" t="inlineStr">
        <is>
          <t>VÄRNAMO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54567-2021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44473</v>
      </c>
      <c r="E75" s="1" t="n">
        <v>46279</v>
      </c>
      <c r="F75" t="inlineStr">
        <is>
          <t>JÖNKÖPINGS LÄN</t>
        </is>
      </c>
      <c r="G75" t="inlineStr">
        <is>
          <t>VÄRNAMO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71848-2021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44539</v>
      </c>
      <c r="E76" s="1" t="n">
        <v>46279</v>
      </c>
      <c r="F76" t="inlineStr">
        <is>
          <t>JÖNKÖPINGS LÄN</t>
        </is>
      </c>
      <c r="G76" t="inlineStr">
        <is>
          <t>VÄRNAMO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30354-2022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44760</v>
      </c>
      <c r="E77" s="1" t="n">
        <v>46279</v>
      </c>
      <c r="F77" t="inlineStr">
        <is>
          <t>JÖNKÖPINGS LÄN</t>
        </is>
      </c>
      <c r="G77" t="inlineStr">
        <is>
          <t>VÄRNAMO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31737-2022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44776</v>
      </c>
      <c r="E78" s="1" t="n">
        <v>46279</v>
      </c>
      <c r="F78" t="inlineStr">
        <is>
          <t>JÖNKÖPINGS LÄN</t>
        </is>
      </c>
      <c r="G78" t="inlineStr">
        <is>
          <t>VÄRNAMO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46476-2022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44848</v>
      </c>
      <c r="E79" s="1" t="n">
        <v>46279</v>
      </c>
      <c r="F79" t="inlineStr">
        <is>
          <t>JÖNKÖPINGS LÄN</t>
        </is>
      </c>
      <c r="G79" t="inlineStr">
        <is>
          <t>VÄRNAMO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53966-2021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44469</v>
      </c>
      <c r="E80" s="1" t="n">
        <v>46279</v>
      </c>
      <c r="F80" t="inlineStr">
        <is>
          <t>JÖNKÖPINGS LÄN</t>
        </is>
      </c>
      <c r="G80" t="inlineStr">
        <is>
          <t>VÄRNAMO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44776</v>
      </c>
      <c r="E81" s="1" t="n">
        <v>46279</v>
      </c>
      <c r="F81" t="inlineStr">
        <is>
          <t>JÖNKÖPINGS LÄN</t>
        </is>
      </c>
      <c r="G81" t="inlineStr">
        <is>
          <t>VÄRNAMO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60378-2021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44496</v>
      </c>
      <c r="E82" s="1" t="n">
        <v>46279</v>
      </c>
      <c r="F82" t="inlineStr">
        <is>
          <t>JÖNKÖPINGS LÄN</t>
        </is>
      </c>
      <c r="G82" t="inlineStr">
        <is>
          <t>VÄRNAMO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74127-2021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44557</v>
      </c>
      <c r="E83" s="1" t="n">
        <v>46279</v>
      </c>
      <c r="F83" t="inlineStr">
        <is>
          <t>JÖNKÖPINGS LÄN</t>
        </is>
      </c>
      <c r="G83" t="inlineStr">
        <is>
          <t>VÄRNAMO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44572</v>
      </c>
      <c r="E84" s="1" t="n">
        <v>46279</v>
      </c>
      <c r="F84" t="inlineStr">
        <is>
          <t>JÖNKÖPINGS LÄN</t>
        </is>
      </c>
      <c r="G84" t="inlineStr">
        <is>
          <t>VÄRNAMO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67881-2021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44525</v>
      </c>
      <c r="E85" s="1" t="n">
        <v>46279</v>
      </c>
      <c r="F85" t="inlineStr">
        <is>
          <t>JÖNKÖPINGS LÄN</t>
        </is>
      </c>
      <c r="G85" t="inlineStr">
        <is>
          <t>VÄRNAMO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30115-2022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44757</v>
      </c>
      <c r="E86" s="1" t="n">
        <v>46279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40852-2022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44825</v>
      </c>
      <c r="E87" s="1" t="n">
        <v>46279</v>
      </c>
      <c r="F87" t="inlineStr">
        <is>
          <t>JÖNKÖPINGS LÄN</t>
        </is>
      </c>
      <c r="G87" t="inlineStr">
        <is>
          <t>VÄRNAMO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47649-2022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46279</v>
      </c>
      <c r="F88" t="inlineStr">
        <is>
          <t>JÖNKÖPINGS LÄN</t>
        </is>
      </c>
      <c r="G88" t="inlineStr">
        <is>
          <t>VÄRNAMO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61912-2021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44502</v>
      </c>
      <c r="E89" s="1" t="n">
        <v>46279</v>
      </c>
      <c r="F89" t="inlineStr">
        <is>
          <t>JÖNKÖPINGS LÄN</t>
        </is>
      </c>
      <c r="G89" t="inlineStr">
        <is>
          <t>VÄRNAMO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7243-2022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44606</v>
      </c>
      <c r="E90" s="1" t="n">
        <v>46279</v>
      </c>
      <c r="F90" t="inlineStr">
        <is>
          <t>JÖNKÖPINGS LÄN</t>
        </is>
      </c>
      <c r="G90" t="inlineStr">
        <is>
          <t>VÄRNAMO</t>
        </is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9355-2022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44616</v>
      </c>
      <c r="E91" s="1" t="n">
        <v>46279</v>
      </c>
      <c r="F91" t="inlineStr">
        <is>
          <t>JÖNKÖPINGS LÄN</t>
        </is>
      </c>
      <c r="G91" t="inlineStr">
        <is>
          <t>VÄRNAMO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56077-2021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44477</v>
      </c>
      <c r="E92" s="1" t="n">
        <v>46279</v>
      </c>
      <c r="F92" t="inlineStr">
        <is>
          <t>JÖNKÖPINGS LÄN</t>
        </is>
      </c>
      <c r="G92" t="inlineStr">
        <is>
          <t>VÄRNAMO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21626-2022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44706</v>
      </c>
      <c r="E93" s="1" t="n">
        <v>46279</v>
      </c>
      <c r="F93" t="inlineStr">
        <is>
          <t>JÖNKÖPINGS LÄN</t>
        </is>
      </c>
      <c r="G93" t="inlineStr">
        <is>
          <t>VÄRNAMO</t>
        </is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44662</v>
      </c>
      <c r="E94" s="1" t="n">
        <v>46279</v>
      </c>
      <c r="F94" t="inlineStr">
        <is>
          <t>JÖNKÖPINGS LÄN</t>
        </is>
      </c>
      <c r="G94" t="inlineStr">
        <is>
          <t>VÄRNAMO</t>
        </is>
      </c>
      <c r="I94" t="n">
        <v>9.199999999999999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17288-2022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44678</v>
      </c>
      <c r="E95" s="1" t="n">
        <v>46279</v>
      </c>
      <c r="F95" t="inlineStr">
        <is>
          <t>JÖNKÖPINGS LÄN</t>
        </is>
      </c>
      <c r="G95" t="inlineStr">
        <is>
          <t>VÄRNAMO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13619-2022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44648</v>
      </c>
      <c r="E96" s="1" t="n">
        <v>46279</v>
      </c>
      <c r="F96" t="inlineStr">
        <is>
          <t>JÖNKÖPINGS LÄN</t>
        </is>
      </c>
      <c r="G96" t="inlineStr">
        <is>
          <t>VÄRNAMO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62294-2023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45267</v>
      </c>
      <c r="E97" s="1" t="n">
        <v>46279</v>
      </c>
      <c r="F97" t="inlineStr">
        <is>
          <t>JÖNKÖPINGS LÄN</t>
        </is>
      </c>
      <c r="G97" t="inlineStr">
        <is>
          <t>VÄRNAMO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40486-2022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44823</v>
      </c>
      <c r="E98" s="1" t="n">
        <v>46279</v>
      </c>
      <c r="F98" t="inlineStr">
        <is>
          <t>JÖNKÖPINGS LÄN</t>
        </is>
      </c>
      <c r="G98" t="inlineStr">
        <is>
          <t>VÄRNAMO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18735-2025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45763</v>
      </c>
      <c r="E99" s="1" t="n">
        <v>46279</v>
      </c>
      <c r="F99" t="inlineStr">
        <is>
          <t>JÖNKÖPINGS LÄN</t>
        </is>
      </c>
      <c r="G99" t="inlineStr">
        <is>
          <t>VÄRNAMO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41206-2023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45174</v>
      </c>
      <c r="E100" s="1" t="n">
        <v>46279</v>
      </c>
      <c r="F100" t="inlineStr">
        <is>
          <t>JÖNKÖPINGS LÄN</t>
        </is>
      </c>
      <c r="G100" t="inlineStr">
        <is>
          <t>VÄRNAMO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4185-2024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45324</v>
      </c>
      <c r="E101" s="1" t="n">
        <v>46279</v>
      </c>
      <c r="F101" t="inlineStr">
        <is>
          <t>JÖNKÖPINGS LÄN</t>
        </is>
      </c>
      <c r="G101" t="inlineStr">
        <is>
          <t>VÄRNAMO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51472-2023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45221</v>
      </c>
      <c r="E102" s="1" t="n">
        <v>46279</v>
      </c>
      <c r="F102" t="inlineStr">
        <is>
          <t>JÖNKÖPINGS LÄN</t>
        </is>
      </c>
      <c r="G102" t="inlineStr">
        <is>
          <t>VÄRNAMO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16164-2024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45406</v>
      </c>
      <c r="E103" s="1" t="n">
        <v>46279</v>
      </c>
      <c r="F103" t="inlineStr">
        <is>
          <t>JÖNKÖPINGS LÄN</t>
        </is>
      </c>
      <c r="G103" t="inlineStr">
        <is>
          <t>VÄRNAMO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6914-2024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45343</v>
      </c>
      <c r="E104" s="1" t="n">
        <v>46279</v>
      </c>
      <c r="F104" t="inlineStr">
        <is>
          <t>JÖNKÖPINGS LÄN</t>
        </is>
      </c>
      <c r="G104" t="inlineStr">
        <is>
          <t>VÄRNAMO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6918-2024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45343</v>
      </c>
      <c r="E105" s="1" t="n">
        <v>46279</v>
      </c>
      <c r="F105" t="inlineStr">
        <is>
          <t>JÖNKÖPINGS LÄN</t>
        </is>
      </c>
      <c r="G105" t="inlineStr">
        <is>
          <t>VÄRNAMO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17678-2023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45037</v>
      </c>
      <c r="E106" s="1" t="n">
        <v>46279</v>
      </c>
      <c r="F106" t="inlineStr">
        <is>
          <t>JÖNKÖPINGS LÄN</t>
        </is>
      </c>
      <c r="G106" t="inlineStr">
        <is>
          <t>VÄRNAMO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9977-2024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45363</v>
      </c>
      <c r="E107" s="1" t="n">
        <v>46279</v>
      </c>
      <c r="F107" t="inlineStr">
        <is>
          <t>JÖNKÖPINGS LÄN</t>
        </is>
      </c>
      <c r="G107" t="inlineStr">
        <is>
          <t>VÄRNAMO</t>
        </is>
      </c>
      <c r="H107" t="inlineStr">
        <is>
          <t>Kyrkan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9041-2025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45713</v>
      </c>
      <c r="E108" s="1" t="n">
        <v>46279</v>
      </c>
      <c r="F108" t="inlineStr">
        <is>
          <t>JÖNKÖPINGS LÄN</t>
        </is>
      </c>
      <c r="G108" t="inlineStr">
        <is>
          <t>VÄRNAMO</t>
        </is>
      </c>
      <c r="H108" t="inlineStr">
        <is>
          <t>Sveaskog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47968-2022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44853</v>
      </c>
      <c r="E109" s="1" t="n">
        <v>46279</v>
      </c>
      <c r="F109" t="inlineStr">
        <is>
          <t>JÖNKÖPINGS LÄN</t>
        </is>
      </c>
      <c r="G109" t="inlineStr">
        <is>
          <t>VÄRNAMO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47987-2022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44853</v>
      </c>
      <c r="E110" s="1" t="n">
        <v>46279</v>
      </c>
      <c r="F110" t="inlineStr">
        <is>
          <t>JÖNKÖPINGS LÄN</t>
        </is>
      </c>
      <c r="G110" t="inlineStr">
        <is>
          <t>VÄRNAMO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56402-2023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45243</v>
      </c>
      <c r="E111" s="1" t="n">
        <v>46279</v>
      </c>
      <c r="F111" t="inlineStr">
        <is>
          <t>JÖNKÖPINGS LÄN</t>
        </is>
      </c>
      <c r="G111" t="inlineStr">
        <is>
          <t>VÄRNAMO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17220-2025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45756</v>
      </c>
      <c r="E112" s="1" t="n">
        <v>46279</v>
      </c>
      <c r="F112" t="inlineStr">
        <is>
          <t>JÖNKÖPINGS LÄN</t>
        </is>
      </c>
      <c r="G112" t="inlineStr">
        <is>
          <t>VÄRNAMO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1158-2024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45302</v>
      </c>
      <c r="E113" s="1" t="n">
        <v>46279</v>
      </c>
      <c r="F113" t="inlineStr">
        <is>
          <t>JÖNKÖPINGS LÄN</t>
        </is>
      </c>
      <c r="G113" t="inlineStr">
        <is>
          <t>VÄRNAMO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40777-2024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45558</v>
      </c>
      <c r="E114" s="1" t="n">
        <v>46279</v>
      </c>
      <c r="F114" t="inlineStr">
        <is>
          <t>JÖNKÖPINGS LÄN</t>
        </is>
      </c>
      <c r="G114" t="inlineStr">
        <is>
          <t>VÄRNAMO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14240-2024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45393</v>
      </c>
      <c r="E115" s="1" t="n">
        <v>46279</v>
      </c>
      <c r="F115" t="inlineStr">
        <is>
          <t>JÖNKÖPINGS LÄN</t>
        </is>
      </c>
      <c r="G115" t="inlineStr">
        <is>
          <t>VÄRNAMO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2940-2024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45315</v>
      </c>
      <c r="E116" s="1" t="n">
        <v>46279</v>
      </c>
      <c r="F116" t="inlineStr">
        <is>
          <t>JÖNKÖPINGS LÄN</t>
        </is>
      </c>
      <c r="G116" t="inlineStr">
        <is>
          <t>VÄRNAMO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15536-2024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45401</v>
      </c>
      <c r="E117" s="1" t="n">
        <v>46279</v>
      </c>
      <c r="F117" t="inlineStr">
        <is>
          <t>JÖNKÖPINGS LÄN</t>
        </is>
      </c>
      <c r="G117" t="inlineStr">
        <is>
          <t>VÄRNAMO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22296-2024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45446</v>
      </c>
      <c r="E118" s="1" t="n">
        <v>46279</v>
      </c>
      <c r="F118" t="inlineStr">
        <is>
          <t>JÖNKÖPINGS LÄN</t>
        </is>
      </c>
      <c r="G118" t="inlineStr">
        <is>
          <t>VÄRNAMO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56421-2023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45243</v>
      </c>
      <c r="E119" s="1" t="n">
        <v>46279</v>
      </c>
      <c r="F119" t="inlineStr">
        <is>
          <t>JÖNKÖPINGS LÄN</t>
        </is>
      </c>
      <c r="G119" t="inlineStr">
        <is>
          <t>VÄRNAMO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71233-2021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44539</v>
      </c>
      <c r="E120" s="1" t="n">
        <v>46279</v>
      </c>
      <c r="F120" t="inlineStr">
        <is>
          <t>JÖNKÖPINGS LÄN</t>
        </is>
      </c>
      <c r="G120" t="inlineStr">
        <is>
          <t>VÄRNAMO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59757-2021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44494</v>
      </c>
      <c r="E121" s="1" t="n">
        <v>46279</v>
      </c>
      <c r="F121" t="inlineStr">
        <is>
          <t>JÖNKÖPINGS LÄN</t>
        </is>
      </c>
      <c r="G121" t="inlineStr">
        <is>
          <t>VÄRNAMO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3433-2023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44949</v>
      </c>
      <c r="E122" s="1" t="n">
        <v>46279</v>
      </c>
      <c r="F122" t="inlineStr">
        <is>
          <t>JÖNKÖPINGS LÄN</t>
        </is>
      </c>
      <c r="G122" t="inlineStr">
        <is>
          <t>VÄRNAMO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62794-2023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45271</v>
      </c>
      <c r="E123" s="1" t="n">
        <v>46279</v>
      </c>
      <c r="F123" t="inlineStr">
        <is>
          <t>JÖNKÖPINGS LÄN</t>
        </is>
      </c>
      <c r="G123" t="inlineStr">
        <is>
          <t>VÄRNAMO</t>
        </is>
      </c>
      <c r="H123" t="inlineStr">
        <is>
          <t>Kommuner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40696-2023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45170</v>
      </c>
      <c r="E124" s="1" t="n">
        <v>46279</v>
      </c>
      <c r="F124" t="inlineStr">
        <is>
          <t>JÖNKÖPINGS LÄN</t>
        </is>
      </c>
      <c r="G124" t="inlineStr">
        <is>
          <t>VÄRNAMO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6879-2022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44602</v>
      </c>
      <c r="E125" s="1" t="n">
        <v>46279</v>
      </c>
      <c r="F125" t="inlineStr">
        <is>
          <t>JÖNKÖPINGS LÄN</t>
        </is>
      </c>
      <c r="G125" t="inlineStr">
        <is>
          <t>VÄRNAMO</t>
        </is>
      </c>
      <c r="H125" t="inlineStr">
        <is>
          <t>Kommuner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10435-2023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44981</v>
      </c>
      <c r="E126" s="1" t="n">
        <v>46279</v>
      </c>
      <c r="F126" t="inlineStr">
        <is>
          <t>JÖNKÖPINGS LÄN</t>
        </is>
      </c>
      <c r="G126" t="inlineStr">
        <is>
          <t>VÄRNAMO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54000-2021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44470</v>
      </c>
      <c r="E127" s="1" t="n">
        <v>46279</v>
      </c>
      <c r="F127" t="inlineStr">
        <is>
          <t>JÖNKÖPINGS LÄN</t>
        </is>
      </c>
      <c r="G127" t="inlineStr">
        <is>
          <t>VÄRNAMO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27888-2024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45475</v>
      </c>
      <c r="E128" s="1" t="n">
        <v>46279</v>
      </c>
      <c r="F128" t="inlineStr">
        <is>
          <t>JÖNKÖPINGS LÄN</t>
        </is>
      </c>
      <c r="G128" t="inlineStr">
        <is>
          <t>VÄRNAMO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9836-2023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44984</v>
      </c>
      <c r="E129" s="1" t="n">
        <v>46279</v>
      </c>
      <c r="F129" t="inlineStr">
        <is>
          <t>JÖNKÖPINGS LÄN</t>
        </is>
      </c>
      <c r="G129" t="inlineStr">
        <is>
          <t>VÄRNAMO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35604-2024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45531</v>
      </c>
      <c r="E130" s="1" t="n">
        <v>46279</v>
      </c>
      <c r="F130" t="inlineStr">
        <is>
          <t>JÖNKÖPINGS LÄN</t>
        </is>
      </c>
      <c r="G130" t="inlineStr">
        <is>
          <t>VÄRNAMO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22073-2023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45069</v>
      </c>
      <c r="E131" s="1" t="n">
        <v>46279</v>
      </c>
      <c r="F131" t="inlineStr">
        <is>
          <t>JÖNKÖPINGS LÄN</t>
        </is>
      </c>
      <c r="G131" t="inlineStr">
        <is>
          <t>VÄRNAMO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42242-2024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45562</v>
      </c>
      <c r="E132" s="1" t="n">
        <v>46279</v>
      </c>
      <c r="F132" t="inlineStr">
        <is>
          <t>JÖNKÖPINGS LÄN</t>
        </is>
      </c>
      <c r="G132" t="inlineStr">
        <is>
          <t>VÄRNAMO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26276-2023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45091</v>
      </c>
      <c r="E133" s="1" t="n">
        <v>46279</v>
      </c>
      <c r="F133" t="inlineStr">
        <is>
          <t>JÖNKÖPINGS LÄN</t>
        </is>
      </c>
      <c r="G133" t="inlineStr">
        <is>
          <t>VÄRNAMO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31091-2023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45113</v>
      </c>
      <c r="E134" s="1" t="n">
        <v>46279</v>
      </c>
      <c r="F134" t="inlineStr">
        <is>
          <t>JÖNKÖPINGS LÄN</t>
        </is>
      </c>
      <c r="G134" t="inlineStr">
        <is>
          <t>VÄRNAMO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8968-2024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45357</v>
      </c>
      <c r="E135" s="1" t="n">
        <v>46279</v>
      </c>
      <c r="F135" t="inlineStr">
        <is>
          <t>JÖNKÖPINGS LÄN</t>
        </is>
      </c>
      <c r="G135" t="inlineStr">
        <is>
          <t>VÄRNAMO</t>
        </is>
      </c>
      <c r="H135" t="inlineStr">
        <is>
          <t>Sveaskog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3296-2023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44949</v>
      </c>
      <c r="E136" s="1" t="n">
        <v>46279</v>
      </c>
      <c r="F136" t="inlineStr">
        <is>
          <t>JÖNKÖPINGS LÄN</t>
        </is>
      </c>
      <c r="G136" t="inlineStr">
        <is>
          <t>VÄRNAMO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45670</v>
      </c>
      <c r="E137" s="1" t="n">
        <v>46279</v>
      </c>
      <c r="F137" t="inlineStr">
        <is>
          <t>JÖNKÖPINGS LÄN</t>
        </is>
      </c>
      <c r="G137" t="inlineStr">
        <is>
          <t>VÄRNAMO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47643-2023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45203</v>
      </c>
      <c r="E138" s="1" t="n">
        <v>46279</v>
      </c>
      <c r="F138" t="inlineStr">
        <is>
          <t>JÖNKÖPINGS LÄN</t>
        </is>
      </c>
      <c r="G138" t="inlineStr">
        <is>
          <t>VÄRNAMO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74102-2021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44557</v>
      </c>
      <c r="E139" s="1" t="n">
        <v>46279</v>
      </c>
      <c r="F139" t="inlineStr">
        <is>
          <t>JÖNKÖPINGS LÄN</t>
        </is>
      </c>
      <c r="G139" t="inlineStr">
        <is>
          <t>VÄRNAMO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2547-2023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44943</v>
      </c>
      <c r="E140" s="1" t="n">
        <v>46279</v>
      </c>
      <c r="F140" t="inlineStr">
        <is>
          <t>JÖNKÖPINGS LÄN</t>
        </is>
      </c>
      <c r="G140" t="inlineStr">
        <is>
          <t>VÄRNAMO</t>
        </is>
      </c>
      <c r="I140" t="n">
        <v>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40841-2024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45558</v>
      </c>
      <c r="E141" s="1" t="n">
        <v>46279</v>
      </c>
      <c r="F141" t="inlineStr">
        <is>
          <t>JÖNKÖPINGS LÄN</t>
        </is>
      </c>
      <c r="G141" t="inlineStr">
        <is>
          <t>VÄRNAMO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3866-2022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44587</v>
      </c>
      <c r="E142" s="1" t="n">
        <v>46279</v>
      </c>
      <c r="F142" t="inlineStr">
        <is>
          <t>JÖNKÖPINGS LÄN</t>
        </is>
      </c>
      <c r="G142" t="inlineStr">
        <is>
          <t>VÄRNAMO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5428-2022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44595</v>
      </c>
      <c r="E143" s="1" t="n">
        <v>46279</v>
      </c>
      <c r="F143" t="inlineStr">
        <is>
          <t>JÖNKÖPINGS LÄN</t>
        </is>
      </c>
      <c r="G143" t="inlineStr">
        <is>
          <t>VÄRNAMO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13861-2023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45007</v>
      </c>
      <c r="E144" s="1" t="n">
        <v>46279</v>
      </c>
      <c r="F144" t="inlineStr">
        <is>
          <t>JÖNKÖPINGS LÄN</t>
        </is>
      </c>
      <c r="G144" t="inlineStr">
        <is>
          <t>VÄRNAMO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34222-2024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45524</v>
      </c>
      <c r="E145" s="1" t="n">
        <v>46279</v>
      </c>
      <c r="F145" t="inlineStr">
        <is>
          <t>JÖNKÖPINGS LÄN</t>
        </is>
      </c>
      <c r="G145" t="inlineStr">
        <is>
          <t>VÄRNAMO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74026-2021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44553</v>
      </c>
      <c r="E146" s="1" t="n">
        <v>46279</v>
      </c>
      <c r="F146" t="inlineStr">
        <is>
          <t>JÖNKÖPINGS LÄN</t>
        </is>
      </c>
      <c r="G146" t="inlineStr">
        <is>
          <t>VÄRNAMO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74027-2021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44553</v>
      </c>
      <c r="E147" s="1" t="n">
        <v>46279</v>
      </c>
      <c r="F147" t="inlineStr">
        <is>
          <t>JÖNKÖPINGS LÄN</t>
        </is>
      </c>
      <c r="G147" t="inlineStr">
        <is>
          <t>VÄRNAMO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52191-2023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45217</v>
      </c>
      <c r="E148" s="1" t="n">
        <v>46279</v>
      </c>
      <c r="F148" t="inlineStr">
        <is>
          <t>JÖNKÖPINGS LÄN</t>
        </is>
      </c>
      <c r="G148" t="inlineStr">
        <is>
          <t>VÄRNAMO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12304-2023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44998</v>
      </c>
      <c r="E149" s="1" t="n">
        <v>46279</v>
      </c>
      <c r="F149" t="inlineStr">
        <is>
          <t>JÖNKÖPINGS LÄN</t>
        </is>
      </c>
      <c r="G149" t="inlineStr">
        <is>
          <t>VÄRNAMO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12305-2023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44998</v>
      </c>
      <c r="E150" s="1" t="n">
        <v>46279</v>
      </c>
      <c r="F150" t="inlineStr">
        <is>
          <t>JÖNKÖPINGS LÄN</t>
        </is>
      </c>
      <c r="G150" t="inlineStr">
        <is>
          <t>VÄRNAMO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28523-2025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45819</v>
      </c>
      <c r="E151" s="1" t="n">
        <v>46279</v>
      </c>
      <c r="F151" t="inlineStr">
        <is>
          <t>JÖNKÖPINGS LÄN</t>
        </is>
      </c>
      <c r="G151" t="inlineStr">
        <is>
          <t>VÄRNAMO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28890-2025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45820</v>
      </c>
      <c r="E152" s="1" t="n">
        <v>46279</v>
      </c>
      <c r="F152" t="inlineStr">
        <is>
          <t>JÖNKÖPINGS LÄN</t>
        </is>
      </c>
      <c r="G152" t="inlineStr">
        <is>
          <t>VÄRNAMO</t>
        </is>
      </c>
      <c r="H152" t="inlineStr">
        <is>
          <t>Kyrkan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6673-2023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44966</v>
      </c>
      <c r="E153" s="1" t="n">
        <v>46279</v>
      </c>
      <c r="F153" t="inlineStr">
        <is>
          <t>JÖNKÖPINGS LÄN</t>
        </is>
      </c>
      <c r="G153" t="inlineStr">
        <is>
          <t>VÄRNAMO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56272-2022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44890</v>
      </c>
      <c r="E154" s="1" t="n">
        <v>46279</v>
      </c>
      <c r="F154" t="inlineStr">
        <is>
          <t>JÖNKÖPINGS LÄN</t>
        </is>
      </c>
      <c r="G154" t="inlineStr">
        <is>
          <t>VÄRNAMO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43132-2024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45567</v>
      </c>
      <c r="E155" s="1" t="n">
        <v>46279</v>
      </c>
      <c r="F155" t="inlineStr">
        <is>
          <t>JÖNKÖPINGS LÄN</t>
        </is>
      </c>
      <c r="G155" t="inlineStr">
        <is>
          <t>VÄRNAMO</t>
        </is>
      </c>
      <c r="H155" t="inlineStr">
        <is>
          <t>Kommuner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60988-2023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45261</v>
      </c>
      <c r="E156" s="1" t="n">
        <v>46279</v>
      </c>
      <c r="F156" t="inlineStr">
        <is>
          <t>JÖNKÖPINGS LÄN</t>
        </is>
      </c>
      <c r="G156" t="inlineStr">
        <is>
          <t>VÄRNAMO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46468-2023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45197</v>
      </c>
      <c r="E157" s="1" t="n">
        <v>46279</v>
      </c>
      <c r="F157" t="inlineStr">
        <is>
          <t>JÖNKÖPINGS LÄN</t>
        </is>
      </c>
      <c r="G157" t="inlineStr">
        <is>
          <t>VÄRNAMO</t>
        </is>
      </c>
      <c r="I157" t="n">
        <v>6.9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46471-2023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45197</v>
      </c>
      <c r="E158" s="1" t="n">
        <v>46279</v>
      </c>
      <c r="F158" t="inlineStr">
        <is>
          <t>JÖNKÖPINGS LÄN</t>
        </is>
      </c>
      <c r="G158" t="inlineStr">
        <is>
          <t>VÄRNAMO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8169-2026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46064</v>
      </c>
      <c r="E159" s="1" t="n">
        <v>46279</v>
      </c>
      <c r="F159" t="inlineStr">
        <is>
          <t>JÖNKÖPINGS LÄN</t>
        </is>
      </c>
      <c r="G159" t="inlineStr">
        <is>
          <t>VÄRNAMO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43155-2024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45567</v>
      </c>
      <c r="E160" s="1" t="n">
        <v>46279</v>
      </c>
      <c r="F160" t="inlineStr">
        <is>
          <t>JÖNKÖPINGS LÄN</t>
        </is>
      </c>
      <c r="G160" t="inlineStr">
        <is>
          <t>VÄRNAMO</t>
        </is>
      </c>
      <c r="H160" t="inlineStr">
        <is>
          <t>Kommuner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40847-2024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45558</v>
      </c>
      <c r="E161" s="1" t="n">
        <v>46279</v>
      </c>
      <c r="F161" t="inlineStr">
        <is>
          <t>JÖNKÖPINGS LÄN</t>
        </is>
      </c>
      <c r="G161" t="inlineStr">
        <is>
          <t>VÄRNAMO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8772-2026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46066</v>
      </c>
      <c r="E162" s="1" t="n">
        <v>46279</v>
      </c>
      <c r="F162" t="inlineStr">
        <is>
          <t>JÖNKÖPINGS LÄN</t>
        </is>
      </c>
      <c r="G162" t="inlineStr">
        <is>
          <t>VÄRNAMO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29683-2025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45825</v>
      </c>
      <c r="E163" s="1" t="n">
        <v>46279</v>
      </c>
      <c r="F163" t="inlineStr">
        <is>
          <t>JÖNKÖPINGS LÄN</t>
        </is>
      </c>
      <c r="G163" t="inlineStr">
        <is>
          <t>VÄRNAMO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29685-2025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45825</v>
      </c>
      <c r="E164" s="1" t="n">
        <v>46279</v>
      </c>
      <c r="F164" t="inlineStr">
        <is>
          <t>JÖNKÖPINGS LÄN</t>
        </is>
      </c>
      <c r="G164" t="inlineStr">
        <is>
          <t>VÄRNAMO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30119-2025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45826</v>
      </c>
      <c r="E165" s="1" t="n">
        <v>46279</v>
      </c>
      <c r="F165" t="inlineStr">
        <is>
          <t>JÖNKÖPINGS LÄN</t>
        </is>
      </c>
      <c r="G165" t="inlineStr">
        <is>
          <t>VÄRNAMO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30375-2025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45827</v>
      </c>
      <c r="E166" s="1" t="n">
        <v>46279</v>
      </c>
      <c r="F166" t="inlineStr">
        <is>
          <t>JÖNKÖPINGS LÄN</t>
        </is>
      </c>
      <c r="G166" t="inlineStr">
        <is>
          <t>VÄRNAMO</t>
        </is>
      </c>
      <c r="H166" t="inlineStr">
        <is>
          <t>Sveaskog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31214-2025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45832</v>
      </c>
      <c r="E167" s="1" t="n">
        <v>46279</v>
      </c>
      <c r="F167" t="inlineStr">
        <is>
          <t>JÖNKÖPINGS LÄN</t>
        </is>
      </c>
      <c r="G167" t="inlineStr">
        <is>
          <t>VÄRNAMO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40779-2024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45558</v>
      </c>
      <c r="E168" s="1" t="n">
        <v>46279</v>
      </c>
      <c r="F168" t="inlineStr">
        <is>
          <t>JÖNKÖPINGS LÄN</t>
        </is>
      </c>
      <c r="G168" t="inlineStr">
        <is>
          <t>VÄRNAMO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45659</v>
      </c>
      <c r="E169" s="1" t="n">
        <v>46279</v>
      </c>
      <c r="F169" t="inlineStr">
        <is>
          <t>JÖNKÖPINGS LÄN</t>
        </is>
      </c>
      <c r="G169" t="inlineStr">
        <is>
          <t>VÄRNAMO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26119-2025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45805</v>
      </c>
      <c r="E170" s="1" t="n">
        <v>46279</v>
      </c>
      <c r="F170" t="inlineStr">
        <is>
          <t>JÖNKÖPINGS LÄN</t>
        </is>
      </c>
      <c r="G170" t="inlineStr">
        <is>
          <t>VÄRNAMO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31238-2025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45832</v>
      </c>
      <c r="E171" s="1" t="n">
        <v>46279</v>
      </c>
      <c r="F171" t="inlineStr">
        <is>
          <t>JÖNKÖPINGS LÄN</t>
        </is>
      </c>
      <c r="G171" t="inlineStr">
        <is>
          <t>VÄRNAMO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31524-2025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45833</v>
      </c>
      <c r="E172" s="1" t="n">
        <v>46279</v>
      </c>
      <c r="F172" t="inlineStr">
        <is>
          <t>JÖNKÖPINGS LÄN</t>
        </is>
      </c>
      <c r="G172" t="inlineStr">
        <is>
          <t>VÄRNAMO</t>
        </is>
      </c>
      <c r="I172" t="n">
        <v>10.1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22101-2025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45785</v>
      </c>
      <c r="E173" s="1" t="n">
        <v>46279</v>
      </c>
      <c r="F173" t="inlineStr">
        <is>
          <t>JÖNKÖPINGS LÄN</t>
        </is>
      </c>
      <c r="G173" t="inlineStr">
        <is>
          <t>VÄRNAMO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35264-2025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45853</v>
      </c>
      <c r="E174" s="1" t="n">
        <v>46279</v>
      </c>
      <c r="F174" t="inlineStr">
        <is>
          <t>JÖNKÖPINGS LÄN</t>
        </is>
      </c>
      <c r="G174" t="inlineStr">
        <is>
          <t>VÄRNAMO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35266-2025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45853</v>
      </c>
      <c r="E175" s="1" t="n">
        <v>46279</v>
      </c>
      <c r="F175" t="inlineStr">
        <is>
          <t>JÖNKÖPINGS LÄN</t>
        </is>
      </c>
      <c r="G175" t="inlineStr">
        <is>
          <t>VÄRNAMO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45280-2024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45576</v>
      </c>
      <c r="E176" s="1" t="n">
        <v>46279</v>
      </c>
      <c r="F176" t="inlineStr">
        <is>
          <t>JÖNKÖPINGS LÄN</t>
        </is>
      </c>
      <c r="G176" t="inlineStr">
        <is>
          <t>VÄRNAMO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32374-2024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45512</v>
      </c>
      <c r="E177" s="1" t="n">
        <v>46279</v>
      </c>
      <c r="F177" t="inlineStr">
        <is>
          <t>JÖNKÖPINGS LÄN</t>
        </is>
      </c>
      <c r="G177" t="inlineStr">
        <is>
          <t>VÄRNAMO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46985-2024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45583</v>
      </c>
      <c r="E178" s="1" t="n">
        <v>46279</v>
      </c>
      <c r="F178" t="inlineStr">
        <is>
          <t>JÖNKÖPINGS LÄN</t>
        </is>
      </c>
      <c r="G178" t="inlineStr">
        <is>
          <t>VÄRNAMO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47595-2024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45587</v>
      </c>
      <c r="E179" s="1" t="n">
        <v>46279</v>
      </c>
      <c r="F179" t="inlineStr">
        <is>
          <t>JÖNKÖPINGS LÄN</t>
        </is>
      </c>
      <c r="G179" t="inlineStr">
        <is>
          <t>VÄRNAMO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47603-2024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45587</v>
      </c>
      <c r="E180" s="1" t="n">
        <v>46279</v>
      </c>
      <c r="F180" t="inlineStr">
        <is>
          <t>JÖNKÖPINGS LÄN</t>
        </is>
      </c>
      <c r="G180" t="inlineStr">
        <is>
          <t>VÄRNAMO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39363-2025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45889</v>
      </c>
      <c r="E181" s="1" t="n">
        <v>46279</v>
      </c>
      <c r="F181" t="inlineStr">
        <is>
          <t>JÖNKÖPINGS LÄN</t>
        </is>
      </c>
      <c r="G181" t="inlineStr">
        <is>
          <t>VÄRNAMO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33376-2025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45841</v>
      </c>
      <c r="E182" s="1" t="n">
        <v>46279</v>
      </c>
      <c r="F182" t="inlineStr">
        <is>
          <t>JÖNKÖPINGS LÄN</t>
        </is>
      </c>
      <c r="G182" t="inlineStr">
        <is>
          <t>VÄRNAMO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54254-2021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44470</v>
      </c>
      <c r="E183" s="1" t="n">
        <v>46279</v>
      </c>
      <c r="F183" t="inlineStr">
        <is>
          <t>JÖNKÖPINGS LÄN</t>
        </is>
      </c>
      <c r="G183" t="inlineStr">
        <is>
          <t>VÄRNAMO</t>
        </is>
      </c>
      <c r="H183" t="inlineStr">
        <is>
          <t>Övriga Aktiebolag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34899-2023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45142</v>
      </c>
      <c r="E184" s="1" t="n">
        <v>46279</v>
      </c>
      <c r="F184" t="inlineStr">
        <is>
          <t>JÖNKÖPINGS LÄN</t>
        </is>
      </c>
      <c r="G184" t="inlineStr">
        <is>
          <t>VÄRNAMO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40114-2025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45894</v>
      </c>
      <c r="E185" s="1" t="n">
        <v>46279</v>
      </c>
      <c r="F185" t="inlineStr">
        <is>
          <t>JÖNKÖPINGS LÄN</t>
        </is>
      </c>
      <c r="G185" t="inlineStr">
        <is>
          <t>VÄRNAMO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33377-2025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45841</v>
      </c>
      <c r="E186" s="1" t="n">
        <v>46279</v>
      </c>
      <c r="F186" t="inlineStr">
        <is>
          <t>JÖNKÖPINGS LÄN</t>
        </is>
      </c>
      <c r="G186" t="inlineStr">
        <is>
          <t>VÄRNAMO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33378-2025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46279</v>
      </c>
      <c r="F187" t="inlineStr">
        <is>
          <t>JÖNKÖPINGS LÄN</t>
        </is>
      </c>
      <c r="G187" t="inlineStr">
        <is>
          <t>VÄRNAMO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34245-2025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45845</v>
      </c>
      <c r="E188" s="1" t="n">
        <v>46279</v>
      </c>
      <c r="F188" t="inlineStr">
        <is>
          <t>JÖNKÖPINGS LÄN</t>
        </is>
      </c>
      <c r="G188" t="inlineStr">
        <is>
          <t>VÄRNAMO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4429-2023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44956</v>
      </c>
      <c r="E189" s="1" t="n">
        <v>46279</v>
      </c>
      <c r="F189" t="inlineStr">
        <is>
          <t>JÖNKÖPINGS LÄN</t>
        </is>
      </c>
      <c r="G189" t="inlineStr">
        <is>
          <t>VÄRNAMO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11723-2023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44994</v>
      </c>
      <c r="E190" s="1" t="n">
        <v>46279</v>
      </c>
      <c r="F190" t="inlineStr">
        <is>
          <t>JÖNKÖPINGS LÄN</t>
        </is>
      </c>
      <c r="G190" t="inlineStr">
        <is>
          <t>VÄRNAMO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47054-2024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45586</v>
      </c>
      <c r="E191" s="1" t="n">
        <v>46279</v>
      </c>
      <c r="F191" t="inlineStr">
        <is>
          <t>JÖNKÖPINGS LÄN</t>
        </is>
      </c>
      <c r="G191" t="inlineStr">
        <is>
          <t>VÄRNAMO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51351-2024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45604</v>
      </c>
      <c r="E192" s="1" t="n">
        <v>46279</v>
      </c>
      <c r="F192" t="inlineStr">
        <is>
          <t>JÖNKÖPINGS LÄN</t>
        </is>
      </c>
      <c r="G192" t="inlineStr">
        <is>
          <t>VÄRNAMO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20254-2025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45772</v>
      </c>
      <c r="E193" s="1" t="n">
        <v>46279</v>
      </c>
      <c r="F193" t="inlineStr">
        <is>
          <t>JÖNKÖPINGS LÄN</t>
        </is>
      </c>
      <c r="G193" t="inlineStr">
        <is>
          <t>VÄRNAMO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26986-2023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45093</v>
      </c>
      <c r="E194" s="1" t="n">
        <v>46279</v>
      </c>
      <c r="F194" t="inlineStr">
        <is>
          <t>JÖNKÖPINGS LÄN</t>
        </is>
      </c>
      <c r="G194" t="inlineStr">
        <is>
          <t>VÄRNAMO</t>
        </is>
      </c>
      <c r="H194" t="inlineStr">
        <is>
          <t>Sveaskog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17684-2025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45758</v>
      </c>
      <c r="E195" s="1" t="n">
        <v>46279</v>
      </c>
      <c r="F195" t="inlineStr">
        <is>
          <t>JÖNKÖPINGS LÄN</t>
        </is>
      </c>
      <c r="G195" t="inlineStr">
        <is>
          <t>VÄRNAMO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26436-2025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45807</v>
      </c>
      <c r="E196" s="1" t="n">
        <v>46279</v>
      </c>
      <c r="F196" t="inlineStr">
        <is>
          <t>JÖNKÖPINGS LÄN</t>
        </is>
      </c>
      <c r="G196" t="inlineStr">
        <is>
          <t>VÄRNAMO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45585-2023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45194</v>
      </c>
      <c r="E197" s="1" t="n">
        <v>46279</v>
      </c>
      <c r="F197" t="inlineStr">
        <is>
          <t>JÖNKÖPINGS LÄN</t>
        </is>
      </c>
      <c r="G197" t="inlineStr">
        <is>
          <t>VÄRNAMO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35268-2025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45853</v>
      </c>
      <c r="E198" s="1" t="n">
        <v>46279</v>
      </c>
      <c r="F198" t="inlineStr">
        <is>
          <t>JÖNKÖPINGS LÄN</t>
        </is>
      </c>
      <c r="G198" t="inlineStr">
        <is>
          <t>VÄRNAMO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15690-2025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45748</v>
      </c>
      <c r="E199" s="1" t="n">
        <v>46279</v>
      </c>
      <c r="F199" t="inlineStr">
        <is>
          <t>JÖNKÖPINGS LÄN</t>
        </is>
      </c>
      <c r="G199" t="inlineStr">
        <is>
          <t>VÄRNAMO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10031-2026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46073</v>
      </c>
      <c r="E200" s="1" t="n">
        <v>46279</v>
      </c>
      <c r="F200" t="inlineStr">
        <is>
          <t>JÖNKÖPINGS LÄN</t>
        </is>
      </c>
      <c r="G200" t="inlineStr">
        <is>
          <t>VÄRNAMO</t>
        </is>
      </c>
      <c r="H200" t="inlineStr">
        <is>
          <t>Sveaskog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10030-2026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46073</v>
      </c>
      <c r="E201" s="1" t="n">
        <v>46279</v>
      </c>
      <c r="F201" t="inlineStr">
        <is>
          <t>JÖNKÖPINGS LÄN</t>
        </is>
      </c>
      <c r="G201" t="inlineStr">
        <is>
          <t>VÄRNAMO</t>
        </is>
      </c>
      <c r="H201" t="inlineStr">
        <is>
          <t>Sveaskog</t>
        </is>
      </c>
      <c r="I201" t="n">
        <v>9.1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25481-2025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45802</v>
      </c>
      <c r="E202" s="1" t="n">
        <v>46279</v>
      </c>
      <c r="F202" t="inlineStr">
        <is>
          <t>JÖNKÖPINGS LÄN</t>
        </is>
      </c>
      <c r="G202" t="inlineStr">
        <is>
          <t>VÄRNAMO</t>
        </is>
      </c>
      <c r="H202" t="inlineStr">
        <is>
          <t>Övriga Aktiebolag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62573-2023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45270</v>
      </c>
      <c r="E203" s="1" t="n">
        <v>46279</v>
      </c>
      <c r="F203" t="inlineStr">
        <is>
          <t>JÖNKÖPINGS LÄN</t>
        </is>
      </c>
      <c r="G203" t="inlineStr">
        <is>
          <t>VÄRNAMO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43963-2025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45915</v>
      </c>
      <c r="E204" s="1" t="n">
        <v>46279</v>
      </c>
      <c r="F204" t="inlineStr">
        <is>
          <t>JÖNKÖPINGS LÄN</t>
        </is>
      </c>
      <c r="G204" t="inlineStr">
        <is>
          <t>VÄRNAMO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36706-2025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45873</v>
      </c>
      <c r="E205" s="1" t="n">
        <v>46279</v>
      </c>
      <c r="F205" t="inlineStr">
        <is>
          <t>JÖNKÖPINGS LÄN</t>
        </is>
      </c>
      <c r="G205" t="inlineStr">
        <is>
          <t>VÄRNAMO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863-2023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44931</v>
      </c>
      <c r="E206" s="1" t="n">
        <v>46279</v>
      </c>
      <c r="F206" t="inlineStr">
        <is>
          <t>JÖNKÖPINGS LÄN</t>
        </is>
      </c>
      <c r="G206" t="inlineStr">
        <is>
          <t>VÄRNAMO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44744-2025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45917</v>
      </c>
      <c r="E207" s="1" t="n">
        <v>46279</v>
      </c>
      <c r="F207" t="inlineStr">
        <is>
          <t>JÖNKÖPINGS LÄN</t>
        </is>
      </c>
      <c r="G207" t="inlineStr">
        <is>
          <t>VÄRNAMO</t>
        </is>
      </c>
      <c r="H207" t="inlineStr">
        <is>
          <t>Övriga Aktiebolag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44733-2025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46279</v>
      </c>
      <c r="F208" t="inlineStr">
        <is>
          <t>JÖNKÖPINGS LÄN</t>
        </is>
      </c>
      <c r="G208" t="inlineStr">
        <is>
          <t>VÄRNAMO</t>
        </is>
      </c>
      <c r="H208" t="inlineStr">
        <is>
          <t>Övriga Aktiebolag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9972-2026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46073</v>
      </c>
      <c r="E209" s="1" t="n">
        <v>46279</v>
      </c>
      <c r="F209" t="inlineStr">
        <is>
          <t>JÖNKÖPINGS LÄN</t>
        </is>
      </c>
      <c r="G209" t="inlineStr">
        <is>
          <t>VÄRNAMO</t>
        </is>
      </c>
      <c r="H209" t="inlineStr">
        <is>
          <t>Sveaskog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9975-2026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46073</v>
      </c>
      <c r="E210" s="1" t="n">
        <v>46279</v>
      </c>
      <c r="F210" t="inlineStr">
        <is>
          <t>JÖNKÖPINGS LÄN</t>
        </is>
      </c>
      <c r="G210" t="inlineStr">
        <is>
          <t>VÄRNAMO</t>
        </is>
      </c>
      <c r="H210" t="inlineStr">
        <is>
          <t>Sveaskog</t>
        </is>
      </c>
      <c r="I210" t="n">
        <v>6.2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36662-2025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45873</v>
      </c>
      <c r="E211" s="1" t="n">
        <v>46279</v>
      </c>
      <c r="F211" t="inlineStr">
        <is>
          <t>JÖNKÖPINGS LÄN</t>
        </is>
      </c>
      <c r="G211" t="inlineStr">
        <is>
          <t>VÄRNAMO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9970-2026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46073</v>
      </c>
      <c r="E212" s="1" t="n">
        <v>46279</v>
      </c>
      <c r="F212" t="inlineStr">
        <is>
          <t>JÖNKÖPINGS LÄN</t>
        </is>
      </c>
      <c r="G212" t="inlineStr">
        <is>
          <t>VÄRNAMO</t>
        </is>
      </c>
      <c r="H212" t="inlineStr">
        <is>
          <t>Sveaskog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45160-2025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45919</v>
      </c>
      <c r="E213" s="1" t="n">
        <v>46279</v>
      </c>
      <c r="F213" t="inlineStr">
        <is>
          <t>JÖNKÖPINGS LÄN</t>
        </is>
      </c>
      <c r="G213" t="inlineStr">
        <is>
          <t>VÄRNAMO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37353-2025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45876</v>
      </c>
      <c r="E214" s="1" t="n">
        <v>46279</v>
      </c>
      <c r="F214" t="inlineStr">
        <is>
          <t>JÖNKÖPINGS LÄN</t>
        </is>
      </c>
      <c r="G214" t="inlineStr">
        <is>
          <t>VÄRNAMO</t>
        </is>
      </c>
      <c r="I214" t="n">
        <v>14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9974-2026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46073</v>
      </c>
      <c r="E215" s="1" t="n">
        <v>46279</v>
      </c>
      <c r="F215" t="inlineStr">
        <is>
          <t>JÖNKÖPINGS LÄN</t>
        </is>
      </c>
      <c r="G215" t="inlineStr">
        <is>
          <t>VÄRNAMO</t>
        </is>
      </c>
      <c r="H215" t="inlineStr">
        <is>
          <t>Sveaskog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9983-2026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46073</v>
      </c>
      <c r="E216" s="1" t="n">
        <v>46279</v>
      </c>
      <c r="F216" t="inlineStr">
        <is>
          <t>JÖNKÖPINGS LÄN</t>
        </is>
      </c>
      <c r="G216" t="inlineStr">
        <is>
          <t>VÄRNAMO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44929</v>
      </c>
      <c r="E217" s="1" t="n">
        <v>46279</v>
      </c>
      <c r="F217" t="inlineStr">
        <is>
          <t>JÖNKÖPINGS LÄN</t>
        </is>
      </c>
      <c r="G217" t="inlineStr">
        <is>
          <t>VÄRNAMO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2199-2023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44942</v>
      </c>
      <c r="E218" s="1" t="n">
        <v>46279</v>
      </c>
      <c r="F218" t="inlineStr">
        <is>
          <t>JÖNKÖPINGS LÄN</t>
        </is>
      </c>
      <c r="G218" t="inlineStr">
        <is>
          <t>VÄRNAMO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46050-2025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46279</v>
      </c>
      <c r="F219" t="inlineStr">
        <is>
          <t>JÖNKÖPINGS LÄN</t>
        </is>
      </c>
      <c r="G219" t="inlineStr">
        <is>
          <t>VÄRNAMO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46049-2025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45924</v>
      </c>
      <c r="E220" s="1" t="n">
        <v>46279</v>
      </c>
      <c r="F220" t="inlineStr">
        <is>
          <t>JÖNKÖPINGS LÄN</t>
        </is>
      </c>
      <c r="G220" t="inlineStr">
        <is>
          <t>VÄRNAMO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46046-2025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45924</v>
      </c>
      <c r="E221" s="1" t="n">
        <v>46279</v>
      </c>
      <c r="F221" t="inlineStr">
        <is>
          <t>JÖNKÖPINGS LÄN</t>
        </is>
      </c>
      <c r="G221" t="inlineStr">
        <is>
          <t>VÄRNAMO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68171-2021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44526</v>
      </c>
      <c r="E222" s="1" t="n">
        <v>46279</v>
      </c>
      <c r="F222" t="inlineStr">
        <is>
          <t>JÖNKÖPINGS LÄN</t>
        </is>
      </c>
      <c r="G222" t="inlineStr">
        <is>
          <t>VÄRNAMO</t>
        </is>
      </c>
      <c r="H222" t="inlineStr">
        <is>
          <t>Kommuner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18801-2023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45044</v>
      </c>
      <c r="E223" s="1" t="n">
        <v>46279</v>
      </c>
      <c r="F223" t="inlineStr">
        <is>
          <t>JÖNKÖPINGS LÄN</t>
        </is>
      </c>
      <c r="G223" t="inlineStr">
        <is>
          <t>VÄRNAMO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23838-2022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44722</v>
      </c>
      <c r="E224" s="1" t="n">
        <v>46279</v>
      </c>
      <c r="F224" t="inlineStr">
        <is>
          <t>JÖNKÖPINGS LÄN</t>
        </is>
      </c>
      <c r="G224" t="inlineStr">
        <is>
          <t>VÄRNAMO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59229-2024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45637</v>
      </c>
      <c r="E225" s="1" t="n">
        <v>46279</v>
      </c>
      <c r="F225" t="inlineStr">
        <is>
          <t>JÖNKÖPINGS LÄN</t>
        </is>
      </c>
      <c r="G225" t="inlineStr">
        <is>
          <t>VÄRNAMO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14439-2023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45012</v>
      </c>
      <c r="E226" s="1" t="n">
        <v>46279</v>
      </c>
      <c r="F226" t="inlineStr">
        <is>
          <t>JÖNKÖPINGS LÄN</t>
        </is>
      </c>
      <c r="G226" t="inlineStr">
        <is>
          <t>VÄRNAMO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10758-2026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46078</v>
      </c>
      <c r="E227" s="1" t="n">
        <v>46279</v>
      </c>
      <c r="F227" t="inlineStr">
        <is>
          <t>JÖNKÖPINGS LÄN</t>
        </is>
      </c>
      <c r="G227" t="inlineStr">
        <is>
          <t>VÄRNAMO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11015-2026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46079</v>
      </c>
      <c r="E228" s="1" t="n">
        <v>46279</v>
      </c>
      <c r="F228" t="inlineStr">
        <is>
          <t>JÖNKÖPINGS LÄN</t>
        </is>
      </c>
      <c r="G228" t="inlineStr">
        <is>
          <t>VÄRNAMO</t>
        </is>
      </c>
      <c r="H228" t="inlineStr">
        <is>
          <t>Kommuner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17328-2024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45414</v>
      </c>
      <c r="E229" s="1" t="n">
        <v>46279</v>
      </c>
      <c r="F229" t="inlineStr">
        <is>
          <t>JÖNKÖPINGS LÄN</t>
        </is>
      </c>
      <c r="G229" t="inlineStr">
        <is>
          <t>VÄRNAMO</t>
        </is>
      </c>
      <c r="H229" t="inlineStr">
        <is>
          <t>Sveaskog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11263-2026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46080</v>
      </c>
      <c r="E230" s="1" t="n">
        <v>46279</v>
      </c>
      <c r="F230" t="inlineStr">
        <is>
          <t>JÖNKÖPINGS LÄN</t>
        </is>
      </c>
      <c r="G230" t="inlineStr">
        <is>
          <t>VÄRNAMO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39218-2023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45166</v>
      </c>
      <c r="E231" s="1" t="n">
        <v>46279</v>
      </c>
      <c r="F231" t="inlineStr">
        <is>
          <t>JÖNKÖPINGS LÄN</t>
        </is>
      </c>
      <c r="G231" t="inlineStr">
        <is>
          <t>VÄRNAMO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11258-2026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46080</v>
      </c>
      <c r="E232" s="1" t="n">
        <v>46279</v>
      </c>
      <c r="F232" t="inlineStr">
        <is>
          <t>JÖNKÖPINGS LÄN</t>
        </is>
      </c>
      <c r="G232" t="inlineStr">
        <is>
          <t>VÄRNAMO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2435-2025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45674</v>
      </c>
      <c r="E233" s="1" t="n">
        <v>46279</v>
      </c>
      <c r="F233" t="inlineStr">
        <is>
          <t>JÖNKÖPINGS LÄN</t>
        </is>
      </c>
      <c r="G233" t="inlineStr">
        <is>
          <t>VÄRNAMO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7070-2025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45701</v>
      </c>
      <c r="E234" s="1" t="n">
        <v>46279</v>
      </c>
      <c r="F234" t="inlineStr">
        <is>
          <t>JÖNKÖPINGS LÄN</t>
        </is>
      </c>
      <c r="G234" t="inlineStr">
        <is>
          <t>VÄRNAMO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45674</v>
      </c>
      <c r="E235" s="1" t="n">
        <v>46279</v>
      </c>
      <c r="F235" t="inlineStr">
        <is>
          <t>JÖNKÖPINGS LÄN</t>
        </is>
      </c>
      <c r="G235" t="inlineStr">
        <is>
          <t>VÄRNAMO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12095-2026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46086</v>
      </c>
      <c r="E236" s="1" t="n">
        <v>46279</v>
      </c>
      <c r="F236" t="inlineStr">
        <is>
          <t>JÖNKÖPINGS LÄN</t>
        </is>
      </c>
      <c r="G236" t="inlineStr">
        <is>
          <t>VÄRNAMO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50831-2025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45946</v>
      </c>
      <c r="E237" s="1" t="n">
        <v>46279</v>
      </c>
      <c r="F237" t="inlineStr">
        <is>
          <t>JÖNKÖPINGS LÄN</t>
        </is>
      </c>
      <c r="G237" t="inlineStr">
        <is>
          <t>VÄRNAMO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13008-2026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46092</v>
      </c>
      <c r="E238" s="1" t="n">
        <v>46279</v>
      </c>
      <c r="F238" t="inlineStr">
        <is>
          <t>JÖNKÖPINGS LÄN</t>
        </is>
      </c>
      <c r="G238" t="inlineStr">
        <is>
          <t>VÄRNAMO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13284-2026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46093</v>
      </c>
      <c r="E239" s="1" t="n">
        <v>46279</v>
      </c>
      <c r="F239" t="inlineStr">
        <is>
          <t>JÖNKÖPINGS LÄN</t>
        </is>
      </c>
      <c r="G239" t="inlineStr">
        <is>
          <t>VÄRNAMO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44425-2023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45189</v>
      </c>
      <c r="E240" s="1" t="n">
        <v>46279</v>
      </c>
      <c r="F240" t="inlineStr">
        <is>
          <t>JÖNKÖPINGS LÄN</t>
        </is>
      </c>
      <c r="G240" t="inlineStr">
        <is>
          <t>VÄRNAMO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14246-2026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46099</v>
      </c>
      <c r="E241" s="1" t="n">
        <v>46279</v>
      </c>
      <c r="F241" t="inlineStr">
        <is>
          <t>JÖNKÖPINGS LÄN</t>
        </is>
      </c>
      <c r="G241" t="inlineStr">
        <is>
          <t>VÄRNAMO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14162-2026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46099</v>
      </c>
      <c r="E242" s="1" t="n">
        <v>46279</v>
      </c>
      <c r="F242" t="inlineStr">
        <is>
          <t>JÖNKÖPINGS LÄN</t>
        </is>
      </c>
      <c r="G242" t="inlineStr">
        <is>
          <t>VÄRNAMO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53473-2025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45959</v>
      </c>
      <c r="E243" s="1" t="n">
        <v>46279</v>
      </c>
      <c r="F243" t="inlineStr">
        <is>
          <t>JÖNKÖPINGS LÄN</t>
        </is>
      </c>
      <c r="G243" t="inlineStr">
        <is>
          <t>VÄRNAMO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23836-2022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44722</v>
      </c>
      <c r="E244" s="1" t="n">
        <v>46279</v>
      </c>
      <c r="F244" t="inlineStr">
        <is>
          <t>JÖNKÖPINGS LÄN</t>
        </is>
      </c>
      <c r="G244" t="inlineStr">
        <is>
          <t>VÄRNAMO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51294-2023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45219</v>
      </c>
      <c r="E245" s="1" t="n">
        <v>46279</v>
      </c>
      <c r="F245" t="inlineStr">
        <is>
          <t>JÖNKÖPINGS LÄN</t>
        </is>
      </c>
      <c r="G245" t="inlineStr">
        <is>
          <t>VÄRNAMO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53005-2025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45957</v>
      </c>
      <c r="E246" s="1" t="n">
        <v>46279</v>
      </c>
      <c r="F246" t="inlineStr">
        <is>
          <t>JÖNKÖPINGS LÄN</t>
        </is>
      </c>
      <c r="G246" t="inlineStr">
        <is>
          <t>VÄRNAMO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53006-2025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45957</v>
      </c>
      <c r="E247" s="1" t="n">
        <v>46279</v>
      </c>
      <c r="F247" t="inlineStr">
        <is>
          <t>JÖNKÖPINGS LÄN</t>
        </is>
      </c>
      <c r="G247" t="inlineStr">
        <is>
          <t>VÄRNAMO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53009-2025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45957</v>
      </c>
      <c r="E248" s="1" t="n">
        <v>46279</v>
      </c>
      <c r="F248" t="inlineStr">
        <is>
          <t>JÖNKÖPINGS LÄN</t>
        </is>
      </c>
      <c r="G248" t="inlineStr">
        <is>
          <t>VÄRNAMO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38156-2023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45161</v>
      </c>
      <c r="E249" s="1" t="n">
        <v>46279</v>
      </c>
      <c r="F249" t="inlineStr">
        <is>
          <t>JÖNKÖPINGS LÄN</t>
        </is>
      </c>
      <c r="G249" t="inlineStr">
        <is>
          <t>VÄRNAMO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35120-2022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44797</v>
      </c>
      <c r="E250" s="1" t="n">
        <v>46279</v>
      </c>
      <c r="F250" t="inlineStr">
        <is>
          <t>JÖNKÖPINGS LÄN</t>
        </is>
      </c>
      <c r="G250" t="inlineStr">
        <is>
          <t>VÄRNAMO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53004-2025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45957</v>
      </c>
      <c r="E251" s="1" t="n">
        <v>46279</v>
      </c>
      <c r="F251" t="inlineStr">
        <is>
          <t>JÖNKÖPINGS LÄN</t>
        </is>
      </c>
      <c r="G251" t="inlineStr">
        <is>
          <t>VÄRNAMO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54519-2021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44473</v>
      </c>
      <c r="E252" s="1" t="n">
        <v>46279</v>
      </c>
      <c r="F252" t="inlineStr">
        <is>
          <t>JÖNKÖPINGS LÄN</t>
        </is>
      </c>
      <c r="G252" t="inlineStr">
        <is>
          <t>VÄRNAMO</t>
        </is>
      </c>
      <c r="I252" t="n">
        <v>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15127-2026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46105</v>
      </c>
      <c r="E253" s="1" t="n">
        <v>46279</v>
      </c>
      <c r="F253" t="inlineStr">
        <is>
          <t>JÖNKÖPINGS LÄN</t>
        </is>
      </c>
      <c r="G253" t="inlineStr">
        <is>
          <t>VÄRNAMO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15130-2026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46105</v>
      </c>
      <c r="E254" s="1" t="n">
        <v>46279</v>
      </c>
      <c r="F254" t="inlineStr">
        <is>
          <t>JÖNKÖPINGS LÄN</t>
        </is>
      </c>
      <c r="G254" t="inlineStr">
        <is>
          <t>VÄRNAMO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45824-2022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44846</v>
      </c>
      <c r="E255" s="1" t="n">
        <v>46279</v>
      </c>
      <c r="F255" t="inlineStr">
        <is>
          <t>JÖNKÖPINGS LÄN</t>
        </is>
      </c>
      <c r="G255" t="inlineStr">
        <is>
          <t>VÄRNAMO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17468-2023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45036</v>
      </c>
      <c r="E256" s="1" t="n">
        <v>46279</v>
      </c>
      <c r="F256" t="inlineStr">
        <is>
          <t>JÖNKÖPINGS LÄN</t>
        </is>
      </c>
      <c r="G256" t="inlineStr">
        <is>
          <t>VÄRNAMO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45120-2023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45191</v>
      </c>
      <c r="E257" s="1" t="n">
        <v>46279</v>
      </c>
      <c r="F257" t="inlineStr">
        <is>
          <t>JÖNKÖPINGS LÄN</t>
        </is>
      </c>
      <c r="G257" t="inlineStr">
        <is>
          <t>VÄRNAMO</t>
        </is>
      </c>
      <c r="H257" t="inlineStr">
        <is>
          <t>Sveaskog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24702-2022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44727</v>
      </c>
      <c r="E258" s="1" t="n">
        <v>46279</v>
      </c>
      <c r="F258" t="inlineStr">
        <is>
          <t>JÖNKÖPINGS LÄN</t>
        </is>
      </c>
      <c r="G258" t="inlineStr">
        <is>
          <t>VÄRNAMO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52156-2023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45224</v>
      </c>
      <c r="E259" s="1" t="n">
        <v>46279</v>
      </c>
      <c r="F259" t="inlineStr">
        <is>
          <t>JÖNKÖPINGS LÄN</t>
        </is>
      </c>
      <c r="G259" t="inlineStr">
        <is>
          <t>VÄRNAMO</t>
        </is>
      </c>
      <c r="H259" t="inlineStr">
        <is>
          <t>Övriga Aktiebolag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54502-2025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46279</v>
      </c>
      <c r="F260" t="inlineStr">
        <is>
          <t>JÖNKÖPINGS LÄN</t>
        </is>
      </c>
      <c r="G260" t="inlineStr">
        <is>
          <t>VÄRNAMO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54703-2025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45966</v>
      </c>
      <c r="E261" s="1" t="n">
        <v>46279</v>
      </c>
      <c r="F261" t="inlineStr">
        <is>
          <t>JÖNKÖPINGS LÄN</t>
        </is>
      </c>
      <c r="G261" t="inlineStr">
        <is>
          <t>VÄRNAMO</t>
        </is>
      </c>
      <c r="I261" t="n">
        <v>10.8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54501-2025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46279</v>
      </c>
      <c r="F262" t="inlineStr">
        <is>
          <t>JÖNKÖPINGS LÄN</t>
        </is>
      </c>
      <c r="G262" t="inlineStr">
        <is>
          <t>VÄRNAMO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54892-2025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45967</v>
      </c>
      <c r="E263" s="1" t="n">
        <v>46279</v>
      </c>
      <c r="F263" t="inlineStr">
        <is>
          <t>JÖNKÖPINGS LÄN</t>
        </is>
      </c>
      <c r="G263" t="inlineStr">
        <is>
          <t>VÄRNAMO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55527-2025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45971</v>
      </c>
      <c r="E264" s="1" t="n">
        <v>46279</v>
      </c>
      <c r="F264" t="inlineStr">
        <is>
          <t>JÖNKÖPINGS LÄN</t>
        </is>
      </c>
      <c r="G264" t="inlineStr">
        <is>
          <t>VÄRNAMO</t>
        </is>
      </c>
      <c r="H264" t="inlineStr">
        <is>
          <t>Kommuner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55446-2025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45971</v>
      </c>
      <c r="E265" s="1" t="n">
        <v>46279</v>
      </c>
      <c r="F265" t="inlineStr">
        <is>
          <t>JÖNKÖPINGS LÄN</t>
        </is>
      </c>
      <c r="G265" t="inlineStr">
        <is>
          <t>VÄRNAMO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55448-2025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45971</v>
      </c>
      <c r="E266" s="1" t="n">
        <v>46279</v>
      </c>
      <c r="F266" t="inlineStr">
        <is>
          <t>JÖNKÖPINGS LÄN</t>
        </is>
      </c>
      <c r="G266" t="inlineStr">
        <is>
          <t>VÄRNAMO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46868-2023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45200</v>
      </c>
      <c r="E267" s="1" t="n">
        <v>46279</v>
      </c>
      <c r="F267" t="inlineStr">
        <is>
          <t>JÖNKÖPINGS LÄN</t>
        </is>
      </c>
      <c r="G267" t="inlineStr">
        <is>
          <t>VÄRNAMO</t>
        </is>
      </c>
      <c r="H267" t="inlineStr">
        <is>
          <t>Övriga Aktiebolag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37083-2023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45154</v>
      </c>
      <c r="E268" s="1" t="n">
        <v>46279</v>
      </c>
      <c r="F268" t="inlineStr">
        <is>
          <t>JÖNKÖPINGS LÄN</t>
        </is>
      </c>
      <c r="G268" t="inlineStr">
        <is>
          <t>VÄRNAMO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62232-2023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45267</v>
      </c>
      <c r="E269" s="1" t="n">
        <v>46279</v>
      </c>
      <c r="F269" t="inlineStr">
        <is>
          <t>JÖNKÖPINGS LÄN</t>
        </is>
      </c>
      <c r="G269" t="inlineStr">
        <is>
          <t>VÄRNAMO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55447-2025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45971</v>
      </c>
      <c r="E270" s="1" t="n">
        <v>46279</v>
      </c>
      <c r="F270" t="inlineStr">
        <is>
          <t>JÖNKÖPINGS LÄN</t>
        </is>
      </c>
      <c r="G270" t="inlineStr">
        <is>
          <t>VÄRNAMO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31746-2024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45509</v>
      </c>
      <c r="E271" s="1" t="n">
        <v>46279</v>
      </c>
      <c r="F271" t="inlineStr">
        <is>
          <t>JÖNKÖPINGS LÄN</t>
        </is>
      </c>
      <c r="G271" t="inlineStr">
        <is>
          <t>VÄRNAMO</t>
        </is>
      </c>
      <c r="I271" t="n">
        <v>8.1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15101-2026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46101</v>
      </c>
      <c r="E272" s="1" t="n">
        <v>46279</v>
      </c>
      <c r="F272" t="inlineStr">
        <is>
          <t>JÖNKÖPINGS LÄN</t>
        </is>
      </c>
      <c r="G272" t="inlineStr">
        <is>
          <t>VÄRNAMO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55777-2025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45972</v>
      </c>
      <c r="E273" s="1" t="n">
        <v>46279</v>
      </c>
      <c r="F273" t="inlineStr">
        <is>
          <t>JÖNKÖPINGS LÄN</t>
        </is>
      </c>
      <c r="G273" t="inlineStr">
        <is>
          <t>VÄRNAMO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18053-2025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45761</v>
      </c>
      <c r="E274" s="1" t="n">
        <v>46279</v>
      </c>
      <c r="F274" t="inlineStr">
        <is>
          <t>JÖNKÖPINGS LÄN</t>
        </is>
      </c>
      <c r="G274" t="inlineStr">
        <is>
          <t>VÄRNAMO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13273-2025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45735</v>
      </c>
      <c r="E275" s="1" t="n">
        <v>46279</v>
      </c>
      <c r="F275" t="inlineStr">
        <is>
          <t>JÖNKÖPINGS LÄN</t>
        </is>
      </c>
      <c r="G275" t="inlineStr">
        <is>
          <t>VÄRNAMO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56409-2025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45975</v>
      </c>
      <c r="E276" s="1" t="n">
        <v>46279</v>
      </c>
      <c r="F276" t="inlineStr">
        <is>
          <t>JÖNKÖPINGS LÄN</t>
        </is>
      </c>
      <c r="G276" t="inlineStr">
        <is>
          <t>VÄRNAMO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56580-2025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45975</v>
      </c>
      <c r="E277" s="1" t="n">
        <v>46279</v>
      </c>
      <c r="F277" t="inlineStr">
        <is>
          <t>JÖNKÖPINGS LÄN</t>
        </is>
      </c>
      <c r="G277" t="inlineStr">
        <is>
          <t>VÄRNAMO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22268-2024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45446</v>
      </c>
      <c r="E278" s="1" t="n">
        <v>46279</v>
      </c>
      <c r="F278" t="inlineStr">
        <is>
          <t>JÖNKÖPINGS LÄN</t>
        </is>
      </c>
      <c r="G278" t="inlineStr">
        <is>
          <t>VÄRNAMO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22855-2023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45072</v>
      </c>
      <c r="E279" s="1" t="n">
        <v>46279</v>
      </c>
      <c r="F279" t="inlineStr">
        <is>
          <t>JÖNKÖPINGS LÄN</t>
        </is>
      </c>
      <c r="G279" t="inlineStr">
        <is>
          <t>VÄRNAMO</t>
        </is>
      </c>
      <c r="H279" t="inlineStr">
        <is>
          <t>Sveaskog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57718-2025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45981</v>
      </c>
      <c r="E280" s="1" t="n">
        <v>46279</v>
      </c>
      <c r="F280" t="inlineStr">
        <is>
          <t>JÖNKÖPINGS LÄN</t>
        </is>
      </c>
      <c r="G280" t="inlineStr">
        <is>
          <t>VÄRNAMO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57719-2025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45981</v>
      </c>
      <c r="E281" s="1" t="n">
        <v>46279</v>
      </c>
      <c r="F281" t="inlineStr">
        <is>
          <t>JÖNKÖPINGS LÄN</t>
        </is>
      </c>
      <c r="G281" t="inlineStr">
        <is>
          <t>VÄRNAMO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58784-2025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45986</v>
      </c>
      <c r="E282" s="1" t="n">
        <v>46279</v>
      </c>
      <c r="F282" t="inlineStr">
        <is>
          <t>JÖNKÖPINGS LÄN</t>
        </is>
      </c>
      <c r="G282" t="inlineStr">
        <is>
          <t>VÄRNAMO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58785-2025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45986</v>
      </c>
      <c r="E283" s="1" t="n">
        <v>46279</v>
      </c>
      <c r="F283" t="inlineStr">
        <is>
          <t>JÖNKÖPINGS LÄN</t>
        </is>
      </c>
      <c r="G283" t="inlineStr">
        <is>
          <t>VÄRNAMO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13272-2025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45735</v>
      </c>
      <c r="E284" s="1" t="n">
        <v>46279</v>
      </c>
      <c r="F284" t="inlineStr">
        <is>
          <t>JÖNKÖPINGS LÄN</t>
        </is>
      </c>
      <c r="G284" t="inlineStr">
        <is>
          <t>VÄRNAMO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18493-2026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46127</v>
      </c>
      <c r="E285" s="1" t="n">
        <v>46279</v>
      </c>
      <c r="F285" t="inlineStr">
        <is>
          <t>JÖNKÖPINGS LÄN</t>
        </is>
      </c>
      <c r="G285" t="inlineStr">
        <is>
          <t>VÄRNAMO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18441-2026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46127</v>
      </c>
      <c r="E286" s="1" t="n">
        <v>46279</v>
      </c>
      <c r="F286" t="inlineStr">
        <is>
          <t>JÖNKÖPINGS LÄN</t>
        </is>
      </c>
      <c r="G286" t="inlineStr">
        <is>
          <t>VÄRNAMO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58828-2025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45987</v>
      </c>
      <c r="E287" s="1" t="n">
        <v>46279</v>
      </c>
      <c r="F287" t="inlineStr">
        <is>
          <t>JÖNKÖPINGS LÄN</t>
        </is>
      </c>
      <c r="G287" t="inlineStr">
        <is>
          <t>VÄRNAMO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18509-2026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46127</v>
      </c>
      <c r="E288" s="1" t="n">
        <v>46279</v>
      </c>
      <c r="F288" t="inlineStr">
        <is>
          <t>JÖNKÖPINGS LÄN</t>
        </is>
      </c>
      <c r="G288" t="inlineStr">
        <is>
          <t>VÄRNAMO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58902-2025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45987</v>
      </c>
      <c r="E289" s="1" t="n">
        <v>46279</v>
      </c>
      <c r="F289" t="inlineStr">
        <is>
          <t>JÖNKÖPINGS LÄN</t>
        </is>
      </c>
      <c r="G289" t="inlineStr">
        <is>
          <t>VÄRNAMO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22071-2023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45069</v>
      </c>
      <c r="E290" s="1" t="n">
        <v>46279</v>
      </c>
      <c r="F290" t="inlineStr">
        <is>
          <t>JÖNKÖPINGS LÄN</t>
        </is>
      </c>
      <c r="G290" t="inlineStr">
        <is>
          <t>VÄRNAMO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59459-2025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45989</v>
      </c>
      <c r="E291" s="1" t="n">
        <v>46279</v>
      </c>
      <c r="F291" t="inlineStr">
        <is>
          <t>JÖNKÖPINGS LÄN</t>
        </is>
      </c>
      <c r="G291" t="inlineStr">
        <is>
          <t>VÄRNAMO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51463-2022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44869</v>
      </c>
      <c r="E292" s="1" t="n">
        <v>46279</v>
      </c>
      <c r="F292" t="inlineStr">
        <is>
          <t>JÖNKÖPINGS LÄN</t>
        </is>
      </c>
      <c r="G292" t="inlineStr">
        <is>
          <t>VÄRNAMO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59881-2025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45993</v>
      </c>
      <c r="E293" s="1" t="n">
        <v>46279</v>
      </c>
      <c r="F293" t="inlineStr">
        <is>
          <t>JÖNKÖPINGS LÄN</t>
        </is>
      </c>
      <c r="G293" t="inlineStr">
        <is>
          <t>VÄRNAMO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59882-2025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45993</v>
      </c>
      <c r="E294" s="1" t="n">
        <v>46279</v>
      </c>
      <c r="F294" t="inlineStr">
        <is>
          <t>JÖNKÖPINGS LÄN</t>
        </is>
      </c>
      <c r="G294" t="inlineStr">
        <is>
          <t>VÄRNAMO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60481-2025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45995</v>
      </c>
      <c r="E295" s="1" t="n">
        <v>46279</v>
      </c>
      <c r="F295" t="inlineStr">
        <is>
          <t>JÖNKÖPINGS LÄN</t>
        </is>
      </c>
      <c r="G295" t="inlineStr">
        <is>
          <t>VÄRNAMO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51430-2021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44461</v>
      </c>
      <c r="E296" s="1" t="n">
        <v>46279</v>
      </c>
      <c r="F296" t="inlineStr">
        <is>
          <t>JÖNKÖPINGS LÄN</t>
        </is>
      </c>
      <c r="G296" t="inlineStr">
        <is>
          <t>VÄRNAMO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48658-2023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45208</v>
      </c>
      <c r="E297" s="1" t="n">
        <v>46279</v>
      </c>
      <c r="F297" t="inlineStr">
        <is>
          <t>JÖNKÖPINGS LÄN</t>
        </is>
      </c>
      <c r="G297" t="inlineStr">
        <is>
          <t>VÄRNAMO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48664-2023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45208</v>
      </c>
      <c r="E298" s="1" t="n">
        <v>46279</v>
      </c>
      <c r="F298" t="inlineStr">
        <is>
          <t>JÖNKÖPINGS LÄN</t>
        </is>
      </c>
      <c r="G298" t="inlineStr">
        <is>
          <t>VÄRNAMO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61562-2025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46001</v>
      </c>
      <c r="E299" s="1" t="n">
        <v>46279</v>
      </c>
      <c r="F299" t="inlineStr">
        <is>
          <t>JÖNKÖPINGS LÄN</t>
        </is>
      </c>
      <c r="G299" t="inlineStr">
        <is>
          <t>VÄRNAMO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61565-2025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46001</v>
      </c>
      <c r="E300" s="1" t="n">
        <v>46279</v>
      </c>
      <c r="F300" t="inlineStr">
        <is>
          <t>JÖNKÖPINGS LÄN</t>
        </is>
      </c>
      <c r="G300" t="inlineStr">
        <is>
          <t>VÄRNAMO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62178-2025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46006</v>
      </c>
      <c r="E301" s="1" t="n">
        <v>46279</v>
      </c>
      <c r="F301" t="inlineStr">
        <is>
          <t>JÖNKÖPINGS LÄN</t>
        </is>
      </c>
      <c r="G301" t="inlineStr">
        <is>
          <t>VÄRNAMO</t>
        </is>
      </c>
      <c r="I301" t="n">
        <v>10.3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61931-2025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46003</v>
      </c>
      <c r="E302" s="1" t="n">
        <v>46279</v>
      </c>
      <c r="F302" t="inlineStr">
        <is>
          <t>JÖNKÖPINGS LÄN</t>
        </is>
      </c>
      <c r="G302" t="inlineStr">
        <is>
          <t>VÄRNAMO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62274-2025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46006</v>
      </c>
      <c r="E303" s="1" t="n">
        <v>46279</v>
      </c>
      <c r="F303" t="inlineStr">
        <is>
          <t>JÖNKÖPINGS LÄN</t>
        </is>
      </c>
      <c r="G303" t="inlineStr">
        <is>
          <t>VÄRNAMO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62462-2025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46007</v>
      </c>
      <c r="E304" s="1" t="n">
        <v>46279</v>
      </c>
      <c r="F304" t="inlineStr">
        <is>
          <t>JÖNKÖPINGS LÄN</t>
        </is>
      </c>
      <c r="G304" t="inlineStr">
        <is>
          <t>VÄRNAMO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22086-2025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45785</v>
      </c>
      <c r="E305" s="1" t="n">
        <v>46279</v>
      </c>
      <c r="F305" t="inlineStr">
        <is>
          <t>JÖNKÖPINGS LÄN</t>
        </is>
      </c>
      <c r="G305" t="inlineStr">
        <is>
          <t>VÄRNAMO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30712-2024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45496</v>
      </c>
      <c r="E306" s="1" t="n">
        <v>46279</v>
      </c>
      <c r="F306" t="inlineStr">
        <is>
          <t>JÖNKÖPINGS LÄN</t>
        </is>
      </c>
      <c r="G306" t="inlineStr">
        <is>
          <t>VÄRNAMO</t>
        </is>
      </c>
      <c r="H306" t="inlineStr">
        <is>
          <t>Kommuner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15630-2023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45021</v>
      </c>
      <c r="E307" s="1" t="n">
        <v>46279</v>
      </c>
      <c r="F307" t="inlineStr">
        <is>
          <t>JÖNKÖPINGS LÄN</t>
        </is>
      </c>
      <c r="G307" t="inlineStr">
        <is>
          <t>VÄRNAMO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2040-2024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45308</v>
      </c>
      <c r="E308" s="1" t="n">
        <v>46279</v>
      </c>
      <c r="F308" t="inlineStr">
        <is>
          <t>JÖNKÖPINGS LÄN</t>
        </is>
      </c>
      <c r="G308" t="inlineStr">
        <is>
          <t>VÄRNAMO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36724-2025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45873</v>
      </c>
      <c r="E309" s="1" t="n">
        <v>46279</v>
      </c>
      <c r="F309" t="inlineStr">
        <is>
          <t>JÖNKÖPINGS LÄN</t>
        </is>
      </c>
      <c r="G309" t="inlineStr">
        <is>
          <t>VÄRNAMO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52883-2025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45957</v>
      </c>
      <c r="E310" s="1" t="n">
        <v>46279</v>
      </c>
      <c r="F310" t="inlineStr">
        <is>
          <t>JÖNKÖPINGS LÄN</t>
        </is>
      </c>
      <c r="G310" t="inlineStr">
        <is>
          <t>VÄRNAMO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33348-2025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45841</v>
      </c>
      <c r="E311" s="1" t="n">
        <v>46279</v>
      </c>
      <c r="F311" t="inlineStr">
        <is>
          <t>JÖNKÖPINGS LÄN</t>
        </is>
      </c>
      <c r="G311" t="inlineStr">
        <is>
          <t>VÄRNAMO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42475-2025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45905</v>
      </c>
      <c r="E312" s="1" t="n">
        <v>46279</v>
      </c>
      <c r="F312" t="inlineStr">
        <is>
          <t>JÖNKÖPINGS LÄN</t>
        </is>
      </c>
      <c r="G312" t="inlineStr">
        <is>
          <t>VÄRNAMO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37293-2025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45876</v>
      </c>
      <c r="E313" s="1" t="n">
        <v>46279</v>
      </c>
      <c r="F313" t="inlineStr">
        <is>
          <t>JÖNKÖPINGS LÄN</t>
        </is>
      </c>
      <c r="G313" t="inlineStr">
        <is>
          <t>VÄRNAMO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11206-2025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45726</v>
      </c>
      <c r="E314" s="1" t="n">
        <v>46279</v>
      </c>
      <c r="F314" t="inlineStr">
        <is>
          <t>JÖNKÖPINGS LÄN</t>
        </is>
      </c>
      <c r="G314" t="inlineStr">
        <is>
          <t>VÄRNAMO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13065-2025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45734</v>
      </c>
      <c r="E315" s="1" t="n">
        <v>46279</v>
      </c>
      <c r="F315" t="inlineStr">
        <is>
          <t>JÖNKÖPINGS LÄN</t>
        </is>
      </c>
      <c r="G315" t="inlineStr">
        <is>
          <t>VÄRNAMO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57373-2023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45245</v>
      </c>
      <c r="E316" s="1" t="n">
        <v>46279</v>
      </c>
      <c r="F316" t="inlineStr">
        <is>
          <t>JÖNKÖPINGS LÄN</t>
        </is>
      </c>
      <c r="G316" t="inlineStr">
        <is>
          <t>VÄRNAMO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498-2026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46029</v>
      </c>
      <c r="E317" s="1" t="n">
        <v>46279</v>
      </c>
      <c r="F317" t="inlineStr">
        <is>
          <t>JÖNKÖPINGS LÄN</t>
        </is>
      </c>
      <c r="G317" t="inlineStr">
        <is>
          <t>VÄRNAMO</t>
        </is>
      </c>
      <c r="H317" t="inlineStr">
        <is>
          <t>Sveaskog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1032-2026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46030</v>
      </c>
      <c r="E318" s="1" t="n">
        <v>46279</v>
      </c>
      <c r="F318" t="inlineStr">
        <is>
          <t>JÖNKÖPINGS LÄN</t>
        </is>
      </c>
      <c r="G318" t="inlineStr">
        <is>
          <t>VÄRNAMO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17704-2025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45758</v>
      </c>
      <c r="E319" s="1" t="n">
        <v>46279</v>
      </c>
      <c r="F319" t="inlineStr">
        <is>
          <t>JÖNKÖPINGS LÄN</t>
        </is>
      </c>
      <c r="G319" t="inlineStr">
        <is>
          <t>VÄRNAMO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986-2026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46030</v>
      </c>
      <c r="E320" s="1" t="n">
        <v>46279</v>
      </c>
      <c r="F320" t="inlineStr">
        <is>
          <t>JÖNKÖPINGS LÄN</t>
        </is>
      </c>
      <c r="G320" t="inlineStr">
        <is>
          <t>VÄRNAMO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1639-2026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46034</v>
      </c>
      <c r="E321" s="1" t="n">
        <v>46279</v>
      </c>
      <c r="F321" t="inlineStr">
        <is>
          <t>JÖNKÖPINGS LÄN</t>
        </is>
      </c>
      <c r="G321" t="inlineStr">
        <is>
          <t>VÄRNAMO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1643-2026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46034</v>
      </c>
      <c r="E322" s="1" t="n">
        <v>46279</v>
      </c>
      <c r="F322" t="inlineStr">
        <is>
          <t>JÖNKÖPINGS LÄN</t>
        </is>
      </c>
      <c r="G322" t="inlineStr">
        <is>
          <t>VÄRNAMO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1597-2026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46034</v>
      </c>
      <c r="E323" s="1" t="n">
        <v>46279</v>
      </c>
      <c r="F323" t="inlineStr">
        <is>
          <t>JÖNKÖPINGS LÄN</t>
        </is>
      </c>
      <c r="G323" t="inlineStr">
        <is>
          <t>VÄRNAMO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55493-2022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44887</v>
      </c>
      <c r="E324" s="1" t="n">
        <v>46279</v>
      </c>
      <c r="F324" t="inlineStr">
        <is>
          <t>JÖNKÖPINGS LÄN</t>
        </is>
      </c>
      <c r="G324" t="inlineStr">
        <is>
          <t>VÄRNAMO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20249-2026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46139</v>
      </c>
      <c r="E325" s="1" t="n">
        <v>46279</v>
      </c>
      <c r="F325" t="inlineStr">
        <is>
          <t>JÖNKÖPINGS LÄN</t>
        </is>
      </c>
      <c r="G325" t="inlineStr">
        <is>
          <t>VÄRNAMO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55379-2023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45238</v>
      </c>
      <c r="E326" s="1" t="n">
        <v>46279</v>
      </c>
      <c r="F326" t="inlineStr">
        <is>
          <t>JÖNKÖPINGS LÄN</t>
        </is>
      </c>
      <c r="G326" t="inlineStr">
        <is>
          <t>VÄRNAMO</t>
        </is>
      </c>
      <c r="H326" t="inlineStr">
        <is>
          <t>Sveaskog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36410-2023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45149</v>
      </c>
      <c r="E327" s="1" t="n">
        <v>46279</v>
      </c>
      <c r="F327" t="inlineStr">
        <is>
          <t>JÖNKÖPINGS LÄN</t>
        </is>
      </c>
      <c r="G327" t="inlineStr">
        <is>
          <t>VÄRNAMO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31793-2024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45509</v>
      </c>
      <c r="E328" s="1" t="n">
        <v>46279</v>
      </c>
      <c r="F328" t="inlineStr">
        <is>
          <t>JÖNKÖPINGS LÄN</t>
        </is>
      </c>
      <c r="G328" t="inlineStr">
        <is>
          <t>VÄRNAMO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2884-2026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46038</v>
      </c>
      <c r="E329" s="1" t="n">
        <v>46279</v>
      </c>
      <c r="F329" t="inlineStr">
        <is>
          <t>JÖNKÖPINGS LÄN</t>
        </is>
      </c>
      <c r="G329" t="inlineStr">
        <is>
          <t>VÄRNAMO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2450-2026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46037</v>
      </c>
      <c r="E330" s="1" t="n">
        <v>46279</v>
      </c>
      <c r="F330" t="inlineStr">
        <is>
          <t>JÖNKÖPINGS LÄN</t>
        </is>
      </c>
      <c r="G330" t="inlineStr">
        <is>
          <t>VÄRNAMO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2893-2026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46038</v>
      </c>
      <c r="E331" s="1" t="n">
        <v>46279</v>
      </c>
      <c r="F331" t="inlineStr">
        <is>
          <t>JÖNKÖPINGS LÄN</t>
        </is>
      </c>
      <c r="G331" t="inlineStr">
        <is>
          <t>VÄRNAMO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2823-2026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46038</v>
      </c>
      <c r="E332" s="1" t="n">
        <v>46279</v>
      </c>
      <c r="F332" t="inlineStr">
        <is>
          <t>JÖNKÖPINGS LÄN</t>
        </is>
      </c>
      <c r="G332" t="inlineStr">
        <is>
          <t>VÄRNAMO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27415-2025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45812</v>
      </c>
      <c r="E333" s="1" t="n">
        <v>46279</v>
      </c>
      <c r="F333" t="inlineStr">
        <is>
          <t>JÖNKÖPINGS LÄN</t>
        </is>
      </c>
      <c r="G333" t="inlineStr">
        <is>
          <t>VÄRNAMO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2821-2026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46038</v>
      </c>
      <c r="E334" s="1" t="n">
        <v>46279</v>
      </c>
      <c r="F334" t="inlineStr">
        <is>
          <t>JÖNKÖPINGS LÄN</t>
        </is>
      </c>
      <c r="G334" t="inlineStr">
        <is>
          <t>VÄRNAMO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3378-2026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46042</v>
      </c>
      <c r="E335" s="1" t="n">
        <v>46279</v>
      </c>
      <c r="F335" t="inlineStr">
        <is>
          <t>JÖNKÖPINGS LÄN</t>
        </is>
      </c>
      <c r="G335" t="inlineStr">
        <is>
          <t>VÄRNAMO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3381-2026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46042</v>
      </c>
      <c r="E336" s="1" t="n">
        <v>46279</v>
      </c>
      <c r="F336" t="inlineStr">
        <is>
          <t>JÖNKÖPINGS LÄN</t>
        </is>
      </c>
      <c r="G336" t="inlineStr">
        <is>
          <t>VÄRNAMO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36729-2022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44805</v>
      </c>
      <c r="E337" s="1" t="n">
        <v>46279</v>
      </c>
      <c r="F337" t="inlineStr">
        <is>
          <t>JÖNKÖPINGS LÄN</t>
        </is>
      </c>
      <c r="G337" t="inlineStr">
        <is>
          <t>VÄRNAMO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46042</v>
      </c>
      <c r="E338" s="1" t="n">
        <v>46279</v>
      </c>
      <c r="F338" t="inlineStr">
        <is>
          <t>JÖNKÖPINGS LÄN</t>
        </is>
      </c>
      <c r="G338" t="inlineStr">
        <is>
          <t>VÄRNAMO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1239-2023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44936</v>
      </c>
      <c r="E339" s="1" t="n">
        <v>46279</v>
      </c>
      <c r="F339" t="inlineStr">
        <is>
          <t>JÖNKÖPINGS LÄN</t>
        </is>
      </c>
      <c r="G339" t="inlineStr">
        <is>
          <t>VÄRNAMO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4043-2026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46044</v>
      </c>
      <c r="E340" s="1" t="n">
        <v>46279</v>
      </c>
      <c r="F340" t="inlineStr">
        <is>
          <t>JÖNKÖPINGS LÄN</t>
        </is>
      </c>
      <c r="G340" t="inlineStr">
        <is>
          <t>VÄRNAMO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48615-2025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45936</v>
      </c>
      <c r="E341" s="1" t="n">
        <v>46279</v>
      </c>
      <c r="F341" t="inlineStr">
        <is>
          <t>JÖNKÖPINGS LÄN</t>
        </is>
      </c>
      <c r="G341" t="inlineStr">
        <is>
          <t>VÄRNAMO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54704-2025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45966</v>
      </c>
      <c r="E342" s="1" t="n">
        <v>46279</v>
      </c>
      <c r="F342" t="inlineStr">
        <is>
          <t>JÖNKÖPINGS LÄN</t>
        </is>
      </c>
      <c r="G342" t="inlineStr">
        <is>
          <t>VÄRNAMO</t>
        </is>
      </c>
      <c r="I342" t="n">
        <v>5.8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48040-2024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45589</v>
      </c>
      <c r="E343" s="1" t="n">
        <v>46279</v>
      </c>
      <c r="F343" t="inlineStr">
        <is>
          <t>JÖNKÖPINGS LÄN</t>
        </is>
      </c>
      <c r="G343" t="inlineStr">
        <is>
          <t>VÄRNAMO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4431-2026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46045</v>
      </c>
      <c r="E344" s="1" t="n">
        <v>46279</v>
      </c>
      <c r="F344" t="inlineStr">
        <is>
          <t>JÖNKÖPINGS LÄN</t>
        </is>
      </c>
      <c r="G344" t="inlineStr">
        <is>
          <t>VÄRNAMO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4432-2026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46045</v>
      </c>
      <c r="E345" s="1" t="n">
        <v>46279</v>
      </c>
      <c r="F345" t="inlineStr">
        <is>
          <t>JÖNKÖPINGS LÄN</t>
        </is>
      </c>
      <c r="G345" t="inlineStr">
        <is>
          <t>VÄRNAMO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4411-2026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46045</v>
      </c>
      <c r="E346" s="1" t="n">
        <v>46279</v>
      </c>
      <c r="F346" t="inlineStr">
        <is>
          <t>JÖNKÖPINGS LÄN</t>
        </is>
      </c>
      <c r="G346" t="inlineStr">
        <is>
          <t>VÄRNAMO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4424-2026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46045</v>
      </c>
      <c r="E347" s="1" t="n">
        <v>46279</v>
      </c>
      <c r="F347" t="inlineStr">
        <is>
          <t>JÖNKÖPINGS LÄN</t>
        </is>
      </c>
      <c r="G347" t="inlineStr">
        <is>
          <t>VÄRNAMO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15375-2023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45019</v>
      </c>
      <c r="E348" s="1" t="n">
        <v>46279</v>
      </c>
      <c r="F348" t="inlineStr">
        <is>
          <t>JÖNKÖPINGS LÄN</t>
        </is>
      </c>
      <c r="G348" t="inlineStr">
        <is>
          <t>VÄRNAMO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5350-2026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46050</v>
      </c>
      <c r="E349" s="1" t="n">
        <v>46279</v>
      </c>
      <c r="F349" t="inlineStr">
        <is>
          <t>JÖNKÖPINGS LÄN</t>
        </is>
      </c>
      <c r="G349" t="inlineStr">
        <is>
          <t>VÄRNAMO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16445-2023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45029</v>
      </c>
      <c r="E350" s="1" t="n">
        <v>46279</v>
      </c>
      <c r="F350" t="inlineStr">
        <is>
          <t>JÖNKÖPINGS LÄN</t>
        </is>
      </c>
      <c r="G350" t="inlineStr">
        <is>
          <t>VÄRNAMO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33315-2025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45841</v>
      </c>
      <c r="E351" s="1" t="n">
        <v>46279</v>
      </c>
      <c r="F351" t="inlineStr">
        <is>
          <t>JÖNKÖPINGS LÄN</t>
        </is>
      </c>
      <c r="G351" t="inlineStr">
        <is>
          <t>VÄRNAMO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5117-2026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46049</v>
      </c>
      <c r="E352" s="1" t="n">
        <v>46279</v>
      </c>
      <c r="F352" t="inlineStr">
        <is>
          <t>JÖNKÖPINGS LÄN</t>
        </is>
      </c>
      <c r="G352" t="inlineStr">
        <is>
          <t>VÄRNAMO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29471-2023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45106</v>
      </c>
      <c r="E353" s="1" t="n">
        <v>46279</v>
      </c>
      <c r="F353" t="inlineStr">
        <is>
          <t>JÖNKÖPINGS LÄN</t>
        </is>
      </c>
      <c r="G353" t="inlineStr">
        <is>
          <t>VÄRNAMO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7298-2023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44970</v>
      </c>
      <c r="E354" s="1" t="n">
        <v>46279</v>
      </c>
      <c r="F354" t="inlineStr">
        <is>
          <t>JÖNKÖPINGS LÄN</t>
        </is>
      </c>
      <c r="G354" t="inlineStr">
        <is>
          <t>VÄRNAMO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31346-2023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45114</v>
      </c>
      <c r="E355" s="1" t="n">
        <v>46279</v>
      </c>
      <c r="F355" t="inlineStr">
        <is>
          <t>JÖNKÖPINGS LÄN</t>
        </is>
      </c>
      <c r="G355" t="inlineStr">
        <is>
          <t>VÄRNAMO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43782-2025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45912</v>
      </c>
      <c r="E356" s="1" t="n">
        <v>46279</v>
      </c>
      <c r="F356" t="inlineStr">
        <is>
          <t>JÖNKÖPINGS LÄN</t>
        </is>
      </c>
      <c r="G356" t="inlineStr">
        <is>
          <t>VÄRNAMO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7045-2026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46057</v>
      </c>
      <c r="E357" s="1" t="n">
        <v>46279</v>
      </c>
      <c r="F357" t="inlineStr">
        <is>
          <t>JÖNKÖPINGS LÄN</t>
        </is>
      </c>
      <c r="G357" t="inlineStr">
        <is>
          <t>VÄRNAMO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32879-2023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45124</v>
      </c>
      <c r="E358" s="1" t="n">
        <v>46279</v>
      </c>
      <c r="F358" t="inlineStr">
        <is>
          <t>JÖNKÖPINGS LÄN</t>
        </is>
      </c>
      <c r="G358" t="inlineStr">
        <is>
          <t>VÄRNAMO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7044-2026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46057</v>
      </c>
      <c r="E359" s="1" t="n">
        <v>46279</v>
      </c>
      <c r="F359" t="inlineStr">
        <is>
          <t>JÖNKÖPINGS LÄN</t>
        </is>
      </c>
      <c r="G359" t="inlineStr">
        <is>
          <t>VÄRNAMO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19229-2025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45769</v>
      </c>
      <c r="E360" s="1" t="n">
        <v>46279</v>
      </c>
      <c r="F360" t="inlineStr">
        <is>
          <t>JÖNKÖPINGS LÄN</t>
        </is>
      </c>
      <c r="G360" t="inlineStr">
        <is>
          <t>VÄRNAMO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7834-2026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46062</v>
      </c>
      <c r="E361" s="1" t="n">
        <v>46279</v>
      </c>
      <c r="F361" t="inlineStr">
        <is>
          <t>JÖNKÖPINGS LÄN</t>
        </is>
      </c>
      <c r="G361" t="inlineStr">
        <is>
          <t>VÄRNAMO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43162-2024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45567</v>
      </c>
      <c r="E362" s="1" t="n">
        <v>46279</v>
      </c>
      <c r="F362" t="inlineStr">
        <is>
          <t>JÖNKÖPINGS LÄN</t>
        </is>
      </c>
      <c r="G362" t="inlineStr">
        <is>
          <t>VÄRNAMO</t>
        </is>
      </c>
      <c r="H362" t="inlineStr">
        <is>
          <t>Kommuner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33407-2024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45519</v>
      </c>
      <c r="E363" s="1" t="n">
        <v>46279</v>
      </c>
      <c r="F363" t="inlineStr">
        <is>
          <t>JÖNKÖPINGS LÄN</t>
        </is>
      </c>
      <c r="G363" t="inlineStr">
        <is>
          <t>VÄRNAMO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7839-2026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46062</v>
      </c>
      <c r="E364" s="1" t="n">
        <v>46279</v>
      </c>
      <c r="F364" t="inlineStr">
        <is>
          <t>JÖNKÖPINGS LÄN</t>
        </is>
      </c>
      <c r="G364" t="inlineStr">
        <is>
          <t>VÄRNAMO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39452-2025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45889</v>
      </c>
      <c r="E365" s="1" t="n">
        <v>46279</v>
      </c>
      <c r="F365" t="inlineStr">
        <is>
          <t>JÖNKÖPINGS LÄN</t>
        </is>
      </c>
      <c r="G365" t="inlineStr">
        <is>
          <t>VÄRNAMO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8252-2026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46064</v>
      </c>
      <c r="E366" s="1" t="n">
        <v>46279</v>
      </c>
      <c r="F366" t="inlineStr">
        <is>
          <t>JÖNKÖPINGS LÄN</t>
        </is>
      </c>
      <c r="G366" t="inlineStr">
        <is>
          <t>VÄRNAMO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39951-2024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45553</v>
      </c>
      <c r="E367" s="1" t="n">
        <v>46279</v>
      </c>
      <c r="F367" t="inlineStr">
        <is>
          <t>JÖNKÖPINGS LÄN</t>
        </is>
      </c>
      <c r="G367" t="inlineStr">
        <is>
          <t>VÄRNAMO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44721-2025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45917</v>
      </c>
      <c r="E368" s="1" t="n">
        <v>46279</v>
      </c>
      <c r="F368" t="inlineStr">
        <is>
          <t>JÖNKÖPINGS LÄN</t>
        </is>
      </c>
      <c r="G368" t="inlineStr">
        <is>
          <t>VÄRNAMO</t>
        </is>
      </c>
      <c r="I368" t="n">
        <v>5.3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61321-2023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45264</v>
      </c>
      <c r="E369" s="1" t="n">
        <v>46279</v>
      </c>
      <c r="F369" t="inlineStr">
        <is>
          <t>JÖNKÖPINGS LÄN</t>
        </is>
      </c>
      <c r="G369" t="inlineStr">
        <is>
          <t>VÄRNAMO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61351-2023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45264</v>
      </c>
      <c r="E370" s="1" t="n">
        <v>46279</v>
      </c>
      <c r="F370" t="inlineStr">
        <is>
          <t>JÖNKÖPINGS LÄN</t>
        </is>
      </c>
      <c r="G370" t="inlineStr">
        <is>
          <t>VÄRNAMO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38501-2023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45162</v>
      </c>
      <c r="E371" s="1" t="n">
        <v>46279</v>
      </c>
      <c r="F371" t="inlineStr">
        <is>
          <t>JÖNKÖPINGS LÄN</t>
        </is>
      </c>
      <c r="G371" t="inlineStr">
        <is>
          <t>VÄRNAMO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58293-2023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45250</v>
      </c>
      <c r="E372" s="1" t="n">
        <v>46279</v>
      </c>
      <c r="F372" t="inlineStr">
        <is>
          <t>JÖNKÖPINGS LÄN</t>
        </is>
      </c>
      <c r="G372" t="inlineStr">
        <is>
          <t>VÄRNAMO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30345-2025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45827</v>
      </c>
      <c r="E373" s="1" t="n">
        <v>46279</v>
      </c>
      <c r="F373" t="inlineStr">
        <is>
          <t>JÖNKÖPINGS LÄN</t>
        </is>
      </c>
      <c r="G373" t="inlineStr">
        <is>
          <t>VÄRNAMO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39656-2023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45167</v>
      </c>
      <c r="E374" s="1" t="n">
        <v>46279</v>
      </c>
      <c r="F374" t="inlineStr">
        <is>
          <t>JÖNKÖPINGS LÄN</t>
        </is>
      </c>
      <c r="G374" t="inlineStr">
        <is>
          <t>VÄRNAMO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45664</v>
      </c>
      <c r="E375" s="1" t="n">
        <v>46279</v>
      </c>
      <c r="F375" t="inlineStr">
        <is>
          <t>JÖNKÖPINGS LÄN</t>
        </is>
      </c>
      <c r="G375" t="inlineStr">
        <is>
          <t>VÄRNAMO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74310-2021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44559</v>
      </c>
      <c r="E376" s="1" t="n">
        <v>46279</v>
      </c>
      <c r="F376" t="inlineStr">
        <is>
          <t>JÖNKÖPINGS LÄN</t>
        </is>
      </c>
      <c r="G376" t="inlineStr">
        <is>
          <t>VÄRNAMO</t>
        </is>
      </c>
      <c r="H376" t="inlineStr">
        <is>
          <t>Sveaskog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33048-2024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45517</v>
      </c>
      <c r="E377" s="1" t="n">
        <v>46279</v>
      </c>
      <c r="F377" t="inlineStr">
        <is>
          <t>JÖNKÖPINGS LÄN</t>
        </is>
      </c>
      <c r="G377" t="inlineStr">
        <is>
          <t>VÄRNAMO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9040-2025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45713</v>
      </c>
      <c r="E378" s="1" t="n">
        <v>46279</v>
      </c>
      <c r="F378" t="inlineStr">
        <is>
          <t>JÖNKÖPINGS LÄN</t>
        </is>
      </c>
      <c r="G378" t="inlineStr">
        <is>
          <t>VÄRNAMO</t>
        </is>
      </c>
      <c r="H378" t="inlineStr">
        <is>
          <t>Sveaskog</t>
        </is>
      </c>
      <c r="I378" t="n">
        <v>6.4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44230-2023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45188</v>
      </c>
      <c r="E379" s="1" t="n">
        <v>46279</v>
      </c>
      <c r="F379" t="inlineStr">
        <is>
          <t>JÖNKÖPINGS LÄN</t>
        </is>
      </c>
      <c r="G379" t="inlineStr">
        <is>
          <t>VÄRNAMO</t>
        </is>
      </c>
      <c r="I379" t="n">
        <v>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12852-2022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44642</v>
      </c>
      <c r="E380" s="1" t="n">
        <v>46279</v>
      </c>
      <c r="F380" t="inlineStr">
        <is>
          <t>JÖNKÖPINGS LÄN</t>
        </is>
      </c>
      <c r="G380" t="inlineStr">
        <is>
          <t>VÄRNAMO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12857-2022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44642</v>
      </c>
      <c r="E381" s="1" t="n">
        <v>46279</v>
      </c>
      <c r="F381" t="inlineStr">
        <is>
          <t>JÖNKÖPINGS LÄN</t>
        </is>
      </c>
      <c r="G381" t="inlineStr">
        <is>
          <t>VÄRNAMO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13930-2026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46098</v>
      </c>
      <c r="E382" s="1" t="n">
        <v>46279</v>
      </c>
      <c r="F382" t="inlineStr">
        <is>
          <t>JÖNKÖPINGS LÄN</t>
        </is>
      </c>
      <c r="G382" t="inlineStr">
        <is>
          <t>VÄRNAMO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37902-2023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45160</v>
      </c>
      <c r="E383" s="1" t="n">
        <v>46279</v>
      </c>
      <c r="F383" t="inlineStr">
        <is>
          <t>JÖNKÖPINGS LÄN</t>
        </is>
      </c>
      <c r="G383" t="inlineStr">
        <is>
          <t>VÄRNAMO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57858-2024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45631</v>
      </c>
      <c r="E384" s="1" t="n">
        <v>46279</v>
      </c>
      <c r="F384" t="inlineStr">
        <is>
          <t>JÖNKÖPINGS LÄN</t>
        </is>
      </c>
      <c r="G384" t="inlineStr">
        <is>
          <t>VÄRNAMO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10540-2025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45721</v>
      </c>
      <c r="E385" s="1" t="n">
        <v>46279</v>
      </c>
      <c r="F385" t="inlineStr">
        <is>
          <t>JÖNKÖPINGS LÄN</t>
        </is>
      </c>
      <c r="G385" t="inlineStr">
        <is>
          <t>VÄRNAMO</t>
        </is>
      </c>
      <c r="I385" t="n">
        <v>0.1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42575-2022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44831</v>
      </c>
      <c r="E386" s="1" t="n">
        <v>46279</v>
      </c>
      <c r="F386" t="inlineStr">
        <is>
          <t>JÖNKÖPINGS LÄN</t>
        </is>
      </c>
      <c r="G386" t="inlineStr">
        <is>
          <t>VÄRNAMO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52104-2024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45608</v>
      </c>
      <c r="E387" s="1" t="n">
        <v>46279</v>
      </c>
      <c r="F387" t="inlineStr">
        <is>
          <t>JÖNKÖPINGS LÄN</t>
        </is>
      </c>
      <c r="G387" t="inlineStr">
        <is>
          <t>VÄRNAMO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44566</v>
      </c>
      <c r="E388" s="1" t="n">
        <v>46279</v>
      </c>
      <c r="F388" t="inlineStr">
        <is>
          <t>JÖNKÖPINGS LÄN</t>
        </is>
      </c>
      <c r="G388" t="inlineStr">
        <is>
          <t>VÄRNAMO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58739-2024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45635</v>
      </c>
      <c r="E389" s="1" t="n">
        <v>46279</v>
      </c>
      <c r="F389" t="inlineStr">
        <is>
          <t>JÖNKÖPINGS LÄN</t>
        </is>
      </c>
      <c r="G389" t="inlineStr">
        <is>
          <t>VÄRNAMO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4787-2024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45328</v>
      </c>
      <c r="E390" s="1" t="n">
        <v>46279</v>
      </c>
      <c r="F390" t="inlineStr">
        <is>
          <t>JÖNKÖPINGS LÄN</t>
        </is>
      </c>
      <c r="G390" t="inlineStr">
        <is>
          <t>VÄRNAMO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4788-2024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45328</v>
      </c>
      <c r="E391" s="1" t="n">
        <v>46279</v>
      </c>
      <c r="F391" t="inlineStr">
        <is>
          <t>JÖNKÖPINGS LÄN</t>
        </is>
      </c>
      <c r="G391" t="inlineStr">
        <is>
          <t>VÄRNAMO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9935-2025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45718</v>
      </c>
      <c r="E392" s="1" t="n">
        <v>46279</v>
      </c>
      <c r="F392" t="inlineStr">
        <is>
          <t>JÖNKÖPINGS LÄN</t>
        </is>
      </c>
      <c r="G392" t="inlineStr">
        <is>
          <t>VÄRNAMO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47921-2023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45204</v>
      </c>
      <c r="E393" s="1" t="n">
        <v>46279</v>
      </c>
      <c r="F393" t="inlineStr">
        <is>
          <t>JÖNKÖPINGS LÄN</t>
        </is>
      </c>
      <c r="G393" t="inlineStr">
        <is>
          <t>VÄRNAMO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11210-2024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45371</v>
      </c>
      <c r="E394" s="1" t="n">
        <v>46279</v>
      </c>
      <c r="F394" t="inlineStr">
        <is>
          <t>JÖNKÖPINGS LÄN</t>
        </is>
      </c>
      <c r="G394" t="inlineStr">
        <is>
          <t>VÄRNAMO</t>
        </is>
      </c>
      <c r="H394" t="inlineStr">
        <is>
          <t>Sveaskog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61108-2024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45645</v>
      </c>
      <c r="E395" s="1" t="n">
        <v>46279</v>
      </c>
      <c r="F395" t="inlineStr">
        <is>
          <t>JÖNKÖPINGS LÄN</t>
        </is>
      </c>
      <c r="G395" t="inlineStr">
        <is>
          <t>VÄRNAMO</t>
        </is>
      </c>
      <c r="I395" t="n">
        <v>13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3903-2025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45684</v>
      </c>
      <c r="E396" s="1" t="n">
        <v>46279</v>
      </c>
      <c r="F396" t="inlineStr">
        <is>
          <t>JÖNKÖPINGS LÄN</t>
        </is>
      </c>
      <c r="G396" t="inlineStr">
        <is>
          <t>VÄRNAMO</t>
        </is>
      </c>
      <c r="H396" t="inlineStr">
        <is>
          <t>Sveaskog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11428-2024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45372</v>
      </c>
      <c r="E397" s="1" t="n">
        <v>46279</v>
      </c>
      <c r="F397" t="inlineStr">
        <is>
          <t>JÖNKÖPINGS LÄN</t>
        </is>
      </c>
      <c r="G397" t="inlineStr">
        <is>
          <t>VÄRNAMO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40226-2024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45554</v>
      </c>
      <c r="E398" s="1" t="n">
        <v>46279</v>
      </c>
      <c r="F398" t="inlineStr">
        <is>
          <t>JÖNKÖPINGS LÄN</t>
        </is>
      </c>
      <c r="G398" t="inlineStr">
        <is>
          <t>VÄRNAMO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22836-2026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46160</v>
      </c>
      <c r="E399" s="1" t="n">
        <v>46279</v>
      </c>
      <c r="F399" t="inlineStr">
        <is>
          <t>JÖNKÖPINGS LÄN</t>
        </is>
      </c>
      <c r="G399" t="inlineStr">
        <is>
          <t>VÄRNAMO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18890-2023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45044</v>
      </c>
      <c r="E400" s="1" t="n">
        <v>46279</v>
      </c>
      <c r="F400" t="inlineStr">
        <is>
          <t>JÖNKÖPINGS LÄN</t>
        </is>
      </c>
      <c r="G400" t="inlineStr">
        <is>
          <t>VÄRNAMO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7727-2022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44608</v>
      </c>
      <c r="E401" s="1" t="n">
        <v>46279</v>
      </c>
      <c r="F401" t="inlineStr">
        <is>
          <t>JÖNKÖPINGS LÄN</t>
        </is>
      </c>
      <c r="G401" t="inlineStr">
        <is>
          <t>VÄRNAMO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60105-2024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45642</v>
      </c>
      <c r="E402" s="1" t="n">
        <v>46279</v>
      </c>
      <c r="F402" t="inlineStr">
        <is>
          <t>JÖNKÖPINGS LÄN</t>
        </is>
      </c>
      <c r="G402" t="inlineStr">
        <is>
          <t>VÄRNAMO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23314-2026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46162</v>
      </c>
      <c r="E403" s="1" t="n">
        <v>46279</v>
      </c>
      <c r="F403" t="inlineStr">
        <is>
          <t>JÖNKÖPINGS LÄN</t>
        </is>
      </c>
      <c r="G403" t="inlineStr">
        <is>
          <t>VÄRNAMO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51893-2024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45607</v>
      </c>
      <c r="E404" s="1" t="n">
        <v>46279</v>
      </c>
      <c r="F404" t="inlineStr">
        <is>
          <t>JÖNKÖPINGS LÄN</t>
        </is>
      </c>
      <c r="G404" t="inlineStr">
        <is>
          <t>VÄRNAMO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20481-2022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44699</v>
      </c>
      <c r="E405" s="1" t="n">
        <v>46279</v>
      </c>
      <c r="F405" t="inlineStr">
        <is>
          <t>JÖNKÖPINGS LÄN</t>
        </is>
      </c>
      <c r="G405" t="inlineStr">
        <is>
          <t>VÄRNAMO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20199-2022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44698</v>
      </c>
      <c r="E406" s="1" t="n">
        <v>46279</v>
      </c>
      <c r="F406" t="inlineStr">
        <is>
          <t>JÖNKÖPINGS LÄN</t>
        </is>
      </c>
      <c r="G406" t="inlineStr">
        <is>
          <t>VÄRNAMO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24036-2026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46167</v>
      </c>
      <c r="E407" s="1" t="n">
        <v>46279</v>
      </c>
      <c r="F407" t="inlineStr">
        <is>
          <t>JÖNKÖPINGS LÄN</t>
        </is>
      </c>
      <c r="G407" t="inlineStr">
        <is>
          <t>VÄRNAMO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23951-2026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46167</v>
      </c>
      <c r="E408" s="1" t="n">
        <v>46279</v>
      </c>
      <c r="F408" t="inlineStr">
        <is>
          <t>JÖNKÖPINGS LÄN</t>
        </is>
      </c>
      <c r="G408" t="inlineStr">
        <is>
          <t>VÄRNAMO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26803-2023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45093</v>
      </c>
      <c r="E409" s="1" t="n">
        <v>46279</v>
      </c>
      <c r="F409" t="inlineStr">
        <is>
          <t>JÖNKÖPINGS LÄN</t>
        </is>
      </c>
      <c r="G409" t="inlineStr">
        <is>
          <t>VÄRNAMO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24028-2026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46167</v>
      </c>
      <c r="E410" s="1" t="n">
        <v>46279</v>
      </c>
      <c r="F410" t="inlineStr">
        <is>
          <t>JÖNKÖPINGS LÄN</t>
        </is>
      </c>
      <c r="G410" t="inlineStr">
        <is>
          <t>VÄRNAMO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41316-2023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45173</v>
      </c>
      <c r="E411" s="1" t="n">
        <v>46279</v>
      </c>
      <c r="F411" t="inlineStr">
        <is>
          <t>JÖNKÖPINGS LÄN</t>
        </is>
      </c>
      <c r="G411" t="inlineStr">
        <is>
          <t>VÄRNAMO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24032-2026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46167</v>
      </c>
      <c r="E412" s="1" t="n">
        <v>46279</v>
      </c>
      <c r="F412" t="inlineStr">
        <is>
          <t>JÖNKÖPINGS LÄN</t>
        </is>
      </c>
      <c r="G412" t="inlineStr">
        <is>
          <t>VÄRNAMO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24809-2026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46172</v>
      </c>
      <c r="E413" s="1" t="n">
        <v>46279</v>
      </c>
      <c r="F413" t="inlineStr">
        <is>
          <t>JÖNKÖPINGS LÄN</t>
        </is>
      </c>
      <c r="G413" t="inlineStr">
        <is>
          <t>VÄRNAMO</t>
        </is>
      </c>
      <c r="I413" t="n">
        <v>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44051-2023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45188</v>
      </c>
      <c r="E414" s="1" t="n">
        <v>46279</v>
      </c>
      <c r="F414" t="inlineStr">
        <is>
          <t>JÖNKÖPINGS LÄN</t>
        </is>
      </c>
      <c r="G414" t="inlineStr">
        <is>
          <t>VÄRNAMO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19250-2025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45769</v>
      </c>
      <c r="E415" s="1" t="n">
        <v>46279</v>
      </c>
      <c r="F415" t="inlineStr">
        <is>
          <t>JÖNKÖPINGS LÄN</t>
        </is>
      </c>
      <c r="G415" t="inlineStr">
        <is>
          <t>VÄRNAMO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50550-2025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45945</v>
      </c>
      <c r="E416" s="1" t="n">
        <v>46279</v>
      </c>
      <c r="F416" t="inlineStr">
        <is>
          <t>JÖNKÖPINGS LÄN</t>
        </is>
      </c>
      <c r="G416" t="inlineStr">
        <is>
          <t>VÄRNAMO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55764-2025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45972</v>
      </c>
      <c r="E417" s="1" t="n">
        <v>46279</v>
      </c>
      <c r="F417" t="inlineStr">
        <is>
          <t>JÖNKÖPINGS LÄN</t>
        </is>
      </c>
      <c r="G417" t="inlineStr">
        <is>
          <t>VÄRNAMO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63430-2023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45274</v>
      </c>
      <c r="E418" s="1" t="n">
        <v>46279</v>
      </c>
      <c r="F418" t="inlineStr">
        <is>
          <t>JÖNKÖPINGS LÄN</t>
        </is>
      </c>
      <c r="G418" t="inlineStr">
        <is>
          <t>VÄRNAMO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17323-2022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44678</v>
      </c>
      <c r="E419" s="1" t="n">
        <v>46279</v>
      </c>
      <c r="F419" t="inlineStr">
        <is>
          <t>JÖNKÖPINGS LÄN</t>
        </is>
      </c>
      <c r="G419" t="inlineStr">
        <is>
          <t>VÄRNAMO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60248-2023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45258</v>
      </c>
      <c r="E420" s="1" t="n">
        <v>46279</v>
      </c>
      <c r="F420" t="inlineStr">
        <is>
          <t>JÖNKÖPINGS LÄN</t>
        </is>
      </c>
      <c r="G420" t="inlineStr">
        <is>
          <t>VÄRNAMO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45444-2023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45194</v>
      </c>
      <c r="E421" s="1" t="n">
        <v>46279</v>
      </c>
      <c r="F421" t="inlineStr">
        <is>
          <t>JÖNKÖPINGS LÄN</t>
        </is>
      </c>
      <c r="G421" t="inlineStr">
        <is>
          <t>VÄRNAMO</t>
        </is>
      </c>
      <c r="H421" t="inlineStr">
        <is>
          <t>Sveaskog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4740-2025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45688</v>
      </c>
      <c r="E422" s="1" t="n">
        <v>46279</v>
      </c>
      <c r="F422" t="inlineStr">
        <is>
          <t>JÖNKÖPINGS LÄN</t>
        </is>
      </c>
      <c r="G422" t="inlineStr">
        <is>
          <t>VÄRNAMO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55749-2023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45239</v>
      </c>
      <c r="E423" s="1" t="n">
        <v>46279</v>
      </c>
      <c r="F423" t="inlineStr">
        <is>
          <t>JÖNKÖPINGS LÄN</t>
        </is>
      </c>
      <c r="G423" t="inlineStr">
        <is>
          <t>VÄRNAMO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15105-2026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46101</v>
      </c>
      <c r="E424" s="1" t="n">
        <v>46279</v>
      </c>
      <c r="F424" t="inlineStr">
        <is>
          <t>JÖNKÖPINGS LÄN</t>
        </is>
      </c>
      <c r="G424" t="inlineStr">
        <is>
          <t>VÄRNAMO</t>
        </is>
      </c>
      <c r="I424" t="n">
        <v>58.2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46940-2022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44851</v>
      </c>
      <c r="E425" s="1" t="n">
        <v>46279</v>
      </c>
      <c r="F425" t="inlineStr">
        <is>
          <t>JÖNKÖPINGS LÄN</t>
        </is>
      </c>
      <c r="G425" t="inlineStr">
        <is>
          <t>VÄRNAMO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63924-2023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45278</v>
      </c>
      <c r="E426" s="1" t="n">
        <v>46279</v>
      </c>
      <c r="F426" t="inlineStr">
        <is>
          <t>JÖNKÖPINGS LÄN</t>
        </is>
      </c>
      <c r="G426" t="inlineStr">
        <is>
          <t>VÄRNAMO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55373-2023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45238</v>
      </c>
      <c r="E427" s="1" t="n">
        <v>46279</v>
      </c>
      <c r="F427" t="inlineStr">
        <is>
          <t>JÖNKÖPINGS LÄN</t>
        </is>
      </c>
      <c r="G427" t="inlineStr">
        <is>
          <t>VÄRNAMO</t>
        </is>
      </c>
      <c r="H427" t="inlineStr">
        <is>
          <t>Sveaskog</t>
        </is>
      </c>
      <c r="I427" t="n">
        <v>10.6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25543-2026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46177</v>
      </c>
      <c r="E428" s="1" t="n">
        <v>46279</v>
      </c>
      <c r="F428" t="inlineStr">
        <is>
          <t>JÖNKÖPINGS LÄN</t>
        </is>
      </c>
      <c r="G428" t="inlineStr">
        <is>
          <t>VÄRNAMO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25102-2022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44729</v>
      </c>
      <c r="E429" s="1" t="n">
        <v>46279</v>
      </c>
      <c r="F429" t="inlineStr">
        <is>
          <t>JÖNKÖPINGS LÄN</t>
        </is>
      </c>
      <c r="G429" t="inlineStr">
        <is>
          <t>VÄRNAMO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56415-2023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45243</v>
      </c>
      <c r="E430" s="1" t="n">
        <v>46279</v>
      </c>
      <c r="F430" t="inlineStr">
        <is>
          <t>JÖNKÖPINGS LÄN</t>
        </is>
      </c>
      <c r="G430" t="inlineStr">
        <is>
          <t>VÄRNAMO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18434-2022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44686</v>
      </c>
      <c r="E431" s="1" t="n">
        <v>46279</v>
      </c>
      <c r="F431" t="inlineStr">
        <is>
          <t>JÖNKÖPINGS LÄN</t>
        </is>
      </c>
      <c r="G431" t="inlineStr">
        <is>
          <t>VÄRNAMO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60037-2022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44909</v>
      </c>
      <c r="E432" s="1" t="n">
        <v>46279</v>
      </c>
      <c r="F432" t="inlineStr">
        <is>
          <t>JÖNKÖPINGS LÄN</t>
        </is>
      </c>
      <c r="G432" t="inlineStr">
        <is>
          <t>VÄRNAMO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4792-2024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45328</v>
      </c>
      <c r="E433" s="1" t="n">
        <v>46279</v>
      </c>
      <c r="F433" t="inlineStr">
        <is>
          <t>JÖNKÖPINGS LÄN</t>
        </is>
      </c>
      <c r="G433" t="inlineStr">
        <is>
          <t>VÄRNAMO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61608-2023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45265</v>
      </c>
      <c r="E434" s="1" t="n">
        <v>46279</v>
      </c>
      <c r="F434" t="inlineStr">
        <is>
          <t>JÖNKÖPINGS LÄN</t>
        </is>
      </c>
      <c r="G434" t="inlineStr">
        <is>
          <t>VÄRNAMO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63027-2023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45272</v>
      </c>
      <c r="E435" s="1" t="n">
        <v>46279</v>
      </c>
      <c r="F435" t="inlineStr">
        <is>
          <t>JÖNKÖPINGS LÄN</t>
        </is>
      </c>
      <c r="G435" t="inlineStr">
        <is>
          <t>VÄRNAMO</t>
        </is>
      </c>
      <c r="H435" t="inlineStr">
        <is>
          <t>Kommuner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3562-2024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45320</v>
      </c>
      <c r="E436" s="1" t="n">
        <v>46279</v>
      </c>
      <c r="F436" t="inlineStr">
        <is>
          <t>JÖNKÖPINGS LÄN</t>
        </is>
      </c>
      <c r="G436" t="inlineStr">
        <is>
          <t>VÄRNAMO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26547-2026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46183</v>
      </c>
      <c r="E437" s="1" t="n">
        <v>46279</v>
      </c>
      <c r="F437" t="inlineStr">
        <is>
          <t>JÖNKÖPINGS LÄN</t>
        </is>
      </c>
      <c r="G437" t="inlineStr">
        <is>
          <t>VÄRNAMO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26222-2026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46182</v>
      </c>
      <c r="E438" s="1" t="n">
        <v>46279</v>
      </c>
      <c r="F438" t="inlineStr">
        <is>
          <t>JÖNKÖPINGS LÄN</t>
        </is>
      </c>
      <c r="G438" t="inlineStr">
        <is>
          <t>VÄRNAMO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26691-2026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46184</v>
      </c>
      <c r="E439" s="1" t="n">
        <v>46279</v>
      </c>
      <c r="F439" t="inlineStr">
        <is>
          <t>JÖNKÖPINGS LÄN</t>
        </is>
      </c>
      <c r="G439" t="inlineStr">
        <is>
          <t>VÄRNAMO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26930-2026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46185</v>
      </c>
      <c r="E440" s="1" t="n">
        <v>46279</v>
      </c>
      <c r="F440" t="inlineStr">
        <is>
          <t>JÖNKÖPINGS LÄN</t>
        </is>
      </c>
      <c r="G440" t="inlineStr">
        <is>
          <t>VÄRNAMO</t>
        </is>
      </c>
      <c r="H440" t="inlineStr">
        <is>
          <t>Kommuner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48697-2022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44859</v>
      </c>
      <c r="E441" s="1" t="n">
        <v>46279</v>
      </c>
      <c r="F441" t="inlineStr">
        <is>
          <t>JÖNKÖPINGS LÄN</t>
        </is>
      </c>
      <c r="G441" t="inlineStr">
        <is>
          <t>VÄRNAMO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63656-2023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45275</v>
      </c>
      <c r="E442" s="1" t="n">
        <v>46279</v>
      </c>
      <c r="F442" t="inlineStr">
        <is>
          <t>JÖNKÖPINGS LÄN</t>
        </is>
      </c>
      <c r="G442" t="inlineStr">
        <is>
          <t>VÄRNAMO</t>
        </is>
      </c>
      <c r="I442" t="n">
        <v>5.8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27508-2026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46189</v>
      </c>
      <c r="E443" s="1" t="n">
        <v>46279</v>
      </c>
      <c r="F443" t="inlineStr">
        <is>
          <t>JÖNKÖPINGS LÄN</t>
        </is>
      </c>
      <c r="G443" t="inlineStr">
        <is>
          <t>VÄRNAMO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27153-2026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46188</v>
      </c>
      <c r="E444" s="1" t="n">
        <v>46279</v>
      </c>
      <c r="F444" t="inlineStr">
        <is>
          <t>JÖNKÖPINGS LÄN</t>
        </is>
      </c>
      <c r="G444" t="inlineStr">
        <is>
          <t>VÄRNAMO</t>
        </is>
      </c>
      <c r="I444" t="n">
        <v>6.2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27154-2026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46188</v>
      </c>
      <c r="E445" s="1" t="n">
        <v>46279</v>
      </c>
      <c r="F445" t="inlineStr">
        <is>
          <t>JÖNKÖPINGS LÄN</t>
        </is>
      </c>
      <c r="G445" t="inlineStr">
        <is>
          <t>VÄRNAMO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27156-2026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46188</v>
      </c>
      <c r="E446" s="1" t="n">
        <v>46279</v>
      </c>
      <c r="F446" t="inlineStr">
        <is>
          <t>JÖNKÖPINGS LÄN</t>
        </is>
      </c>
      <c r="G446" t="inlineStr">
        <is>
          <t>VÄRNAMO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18539-2025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45763</v>
      </c>
      <c r="E447" s="1" t="n">
        <v>46279</v>
      </c>
      <c r="F447" t="inlineStr">
        <is>
          <t>JÖNKÖPINGS LÄN</t>
        </is>
      </c>
      <c r="G447" t="inlineStr">
        <is>
          <t>VÄRNAMO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64002-2023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45278</v>
      </c>
      <c r="E448" s="1" t="n">
        <v>46279</v>
      </c>
      <c r="F448" t="inlineStr">
        <is>
          <t>JÖNKÖPINGS LÄN</t>
        </is>
      </c>
      <c r="G448" t="inlineStr">
        <is>
          <t>VÄRNAMO</t>
        </is>
      </c>
      <c r="I448" t="n">
        <v>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27218-2026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46188</v>
      </c>
      <c r="E449" s="1" t="n">
        <v>46279</v>
      </c>
      <c r="F449" t="inlineStr">
        <is>
          <t>JÖNKÖPINGS LÄN</t>
        </is>
      </c>
      <c r="G449" t="inlineStr">
        <is>
          <t>VÄRNAMO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64048-2023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45279</v>
      </c>
      <c r="E450" s="1" t="n">
        <v>46279</v>
      </c>
      <c r="F450" t="inlineStr">
        <is>
          <t>JÖNKÖPINGS LÄN</t>
        </is>
      </c>
      <c r="G450" t="inlineStr">
        <is>
          <t>VÄRNAMO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27216-2026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46188</v>
      </c>
      <c r="E451" s="1" t="n">
        <v>46279</v>
      </c>
      <c r="F451" t="inlineStr">
        <is>
          <t>JÖNKÖPINGS LÄN</t>
        </is>
      </c>
      <c r="G451" t="inlineStr">
        <is>
          <t>VÄRNAMO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39965-2022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44820</v>
      </c>
      <c r="E452" s="1" t="n">
        <v>46279</v>
      </c>
      <c r="F452" t="inlineStr">
        <is>
          <t>JÖNKÖPINGS LÄN</t>
        </is>
      </c>
      <c r="G452" t="inlineStr">
        <is>
          <t>VÄRNAMO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27916-2026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46191</v>
      </c>
      <c r="E453" s="1" t="n">
        <v>46279</v>
      </c>
      <c r="F453" t="inlineStr">
        <is>
          <t>JÖNKÖPINGS LÄN</t>
        </is>
      </c>
      <c r="G453" t="inlineStr">
        <is>
          <t>VÄRNAMO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27869-2026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46191</v>
      </c>
      <c r="E454" s="1" t="n">
        <v>46279</v>
      </c>
      <c r="F454" t="inlineStr">
        <is>
          <t>JÖNKÖPINGS LÄN</t>
        </is>
      </c>
      <c r="G454" t="inlineStr">
        <is>
          <t>VÄRNAMO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27685-2026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46190</v>
      </c>
      <c r="E455" s="1" t="n">
        <v>46279</v>
      </c>
      <c r="F455" t="inlineStr">
        <is>
          <t>JÖNKÖPINGS LÄN</t>
        </is>
      </c>
      <c r="G455" t="inlineStr">
        <is>
          <t>VÄRNAMO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27863-2026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46191</v>
      </c>
      <c r="E456" s="1" t="n">
        <v>46279</v>
      </c>
      <c r="F456" t="inlineStr">
        <is>
          <t>JÖNKÖPINGS LÄN</t>
        </is>
      </c>
      <c r="G456" t="inlineStr">
        <is>
          <t>VÄRNAMO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31730-2024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45509</v>
      </c>
      <c r="E457" s="1" t="n">
        <v>46279</v>
      </c>
      <c r="F457" t="inlineStr">
        <is>
          <t>JÖNKÖPINGS LÄN</t>
        </is>
      </c>
      <c r="G457" t="inlineStr">
        <is>
          <t>VÄRNAMO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42830-2024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45566</v>
      </c>
      <c r="E458" s="1" t="n">
        <v>46279</v>
      </c>
      <c r="F458" t="inlineStr">
        <is>
          <t>JÖNKÖPINGS LÄN</t>
        </is>
      </c>
      <c r="G458" t="inlineStr">
        <is>
          <t>VÄRNAMO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27908-2026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46191</v>
      </c>
      <c r="E459" s="1" t="n">
        <v>46279</v>
      </c>
      <c r="F459" t="inlineStr">
        <is>
          <t>JÖNKÖPINGS LÄN</t>
        </is>
      </c>
      <c r="G459" t="inlineStr">
        <is>
          <t>VÄRNAMO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27802-2026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46191</v>
      </c>
      <c r="E460" s="1" t="n">
        <v>46279</v>
      </c>
      <c r="F460" t="inlineStr">
        <is>
          <t>JÖNKÖPINGS LÄN</t>
        </is>
      </c>
      <c r="G460" t="inlineStr">
        <is>
          <t>VÄRNAMO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27941-2026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46191</v>
      </c>
      <c r="E461" s="1" t="n">
        <v>46279</v>
      </c>
      <c r="F461" t="inlineStr">
        <is>
          <t>JÖNKÖPINGS LÄN</t>
        </is>
      </c>
      <c r="G461" t="inlineStr">
        <is>
          <t>VÄRNAMO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27692-2026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46190</v>
      </c>
      <c r="E462" s="1" t="n">
        <v>46279</v>
      </c>
      <c r="F462" t="inlineStr">
        <is>
          <t>JÖNKÖPINGS LÄN</t>
        </is>
      </c>
      <c r="G462" t="inlineStr">
        <is>
          <t>VÄRNAMO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27713-2026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46190</v>
      </c>
      <c r="E463" s="1" t="n">
        <v>46279</v>
      </c>
      <c r="F463" t="inlineStr">
        <is>
          <t>JÖNKÖPINGS LÄN</t>
        </is>
      </c>
      <c r="G463" t="inlineStr">
        <is>
          <t>VÄRNAMO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52780-2024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45610</v>
      </c>
      <c r="E464" s="1" t="n">
        <v>46279</v>
      </c>
      <c r="F464" t="inlineStr">
        <is>
          <t>JÖNKÖPINGS LÄN</t>
        </is>
      </c>
      <c r="G464" t="inlineStr">
        <is>
          <t>VÄRNAMO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28019-2026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46195</v>
      </c>
      <c r="E465" s="1" t="n">
        <v>46279</v>
      </c>
      <c r="F465" t="inlineStr">
        <is>
          <t>JÖNKÖPINGS LÄN</t>
        </is>
      </c>
      <c r="G465" t="inlineStr">
        <is>
          <t>VÄRNAMO</t>
        </is>
      </c>
      <c r="H465" t="inlineStr">
        <is>
          <t>Sveaskog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32389-2026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46238</v>
      </c>
      <c r="E466" s="1" t="n">
        <v>46279</v>
      </c>
      <c r="F466" t="inlineStr">
        <is>
          <t>JÖNKÖPINGS LÄN</t>
        </is>
      </c>
      <c r="G466" t="inlineStr">
        <is>
          <t>VÄRNAMO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6980-2025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45701</v>
      </c>
      <c r="E467" s="1" t="n">
        <v>46279</v>
      </c>
      <c r="F467" t="inlineStr">
        <is>
          <t>JÖNKÖPINGS LÄN</t>
        </is>
      </c>
      <c r="G467" t="inlineStr">
        <is>
          <t>VÄRNAMO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1246-2024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45302</v>
      </c>
      <c r="E468" s="1" t="n">
        <v>46279</v>
      </c>
      <c r="F468" t="inlineStr">
        <is>
          <t>JÖNKÖPINGS LÄN</t>
        </is>
      </c>
      <c r="G468" t="inlineStr">
        <is>
          <t>VÄRNAMO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32413-2026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46238</v>
      </c>
      <c r="E469" s="1" t="n">
        <v>46279</v>
      </c>
      <c r="F469" t="inlineStr">
        <is>
          <t>JÖNKÖPINGS LÄN</t>
        </is>
      </c>
      <c r="G469" t="inlineStr">
        <is>
          <t>VÄRNAMO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28007-2026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46195</v>
      </c>
      <c r="E470" s="1" t="n">
        <v>46279</v>
      </c>
      <c r="F470" t="inlineStr">
        <is>
          <t>JÖNKÖPINGS LÄN</t>
        </is>
      </c>
      <c r="G470" t="inlineStr">
        <is>
          <t>VÄRNAMO</t>
        </is>
      </c>
      <c r="H470" t="inlineStr">
        <is>
          <t>Sveaskog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28010-2026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46195</v>
      </c>
      <c r="E471" s="1" t="n">
        <v>46279</v>
      </c>
      <c r="F471" t="inlineStr">
        <is>
          <t>JÖNKÖPINGS LÄN</t>
        </is>
      </c>
      <c r="G471" t="inlineStr">
        <is>
          <t>VÄRNAMO</t>
        </is>
      </c>
      <c r="H471" t="inlineStr">
        <is>
          <t>Sveaskog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28015-2026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46195</v>
      </c>
      <c r="E472" s="1" t="n">
        <v>46279</v>
      </c>
      <c r="F472" t="inlineStr">
        <is>
          <t>JÖNKÖPINGS LÄN</t>
        </is>
      </c>
      <c r="G472" t="inlineStr">
        <is>
          <t>VÄRNAMO</t>
        </is>
      </c>
      <c r="H472" t="inlineStr">
        <is>
          <t>Sveaskog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1341-2023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44936</v>
      </c>
      <c r="E473" s="1" t="n">
        <v>46279</v>
      </c>
      <c r="F473" t="inlineStr">
        <is>
          <t>JÖNKÖPINGS LÄN</t>
        </is>
      </c>
      <c r="G473" t="inlineStr">
        <is>
          <t>VÄRNAMO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53533-2023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45223</v>
      </c>
      <c r="E474" s="1" t="n">
        <v>46279</v>
      </c>
      <c r="F474" t="inlineStr">
        <is>
          <t>JÖNKÖPINGS LÄN</t>
        </is>
      </c>
      <c r="G474" t="inlineStr">
        <is>
          <t>VÄRNAMO</t>
        </is>
      </c>
      <c r="H474" t="inlineStr">
        <is>
          <t>Kyrkan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28016-2026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46195</v>
      </c>
      <c r="E475" s="1" t="n">
        <v>46279</v>
      </c>
      <c r="F475" t="inlineStr">
        <is>
          <t>JÖNKÖPINGS LÄN</t>
        </is>
      </c>
      <c r="G475" t="inlineStr">
        <is>
          <t>VÄRNAMO</t>
        </is>
      </c>
      <c r="H475" t="inlineStr">
        <is>
          <t>Sveaskog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27950-2026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46193</v>
      </c>
      <c r="E476" s="1" t="n">
        <v>46279</v>
      </c>
      <c r="F476" t="inlineStr">
        <is>
          <t>JÖNKÖPINGS LÄN</t>
        </is>
      </c>
      <c r="G476" t="inlineStr">
        <is>
          <t>VÄRNAMO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28011-2026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46195</v>
      </c>
      <c r="E477" s="1" t="n">
        <v>46279</v>
      </c>
      <c r="F477" t="inlineStr">
        <is>
          <t>JÖNKÖPINGS LÄN</t>
        </is>
      </c>
      <c r="G477" t="inlineStr">
        <is>
          <t>VÄRNAMO</t>
        </is>
      </c>
      <c r="H477" t="inlineStr">
        <is>
          <t>Sveaskog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28013-2026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46195</v>
      </c>
      <c r="E478" s="1" t="n">
        <v>46279</v>
      </c>
      <c r="F478" t="inlineStr">
        <is>
          <t>JÖNKÖPINGS LÄN</t>
        </is>
      </c>
      <c r="G478" t="inlineStr">
        <is>
          <t>VÄRNAMO</t>
        </is>
      </c>
      <c r="H478" t="inlineStr">
        <is>
          <t>Sveaskog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28017-2026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46195</v>
      </c>
      <c r="E479" s="1" t="n">
        <v>46279</v>
      </c>
      <c r="F479" t="inlineStr">
        <is>
          <t>JÖNKÖPINGS LÄN</t>
        </is>
      </c>
      <c r="G479" t="inlineStr">
        <is>
          <t>VÄRNAMO</t>
        </is>
      </c>
      <c r="H479" t="inlineStr">
        <is>
          <t>Sveaskog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1916-2024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45308</v>
      </c>
      <c r="E480" s="1" t="n">
        <v>46279</v>
      </c>
      <c r="F480" t="inlineStr">
        <is>
          <t>JÖNKÖPINGS LÄN</t>
        </is>
      </c>
      <c r="G480" t="inlineStr">
        <is>
          <t>VÄRNAMO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1949-2024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45308</v>
      </c>
      <c r="E481" s="1" t="n">
        <v>46279</v>
      </c>
      <c r="F481" t="inlineStr">
        <is>
          <t>JÖNKÖPINGS LÄN</t>
        </is>
      </c>
      <c r="G481" t="inlineStr">
        <is>
          <t>VÄRNAMO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11386-2023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44993</v>
      </c>
      <c r="E482" s="1" t="n">
        <v>46279</v>
      </c>
      <c r="F482" t="inlineStr">
        <is>
          <t>JÖNKÖPINGS LÄN</t>
        </is>
      </c>
      <c r="G482" t="inlineStr">
        <is>
          <t>VÄRNAMO</t>
        </is>
      </c>
      <c r="H482" t="inlineStr">
        <is>
          <t>Kommuner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48289-2024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45590</v>
      </c>
      <c r="E483" s="1" t="n">
        <v>46279</v>
      </c>
      <c r="F483" t="inlineStr">
        <is>
          <t>JÖNKÖPINGS LÄN</t>
        </is>
      </c>
      <c r="G483" t="inlineStr">
        <is>
          <t>VÄRNAMO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14536-2024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45394</v>
      </c>
      <c r="E484" s="1" t="n">
        <v>46279</v>
      </c>
      <c r="F484" t="inlineStr">
        <is>
          <t>JÖNKÖPINGS LÄN</t>
        </is>
      </c>
      <c r="G484" t="inlineStr">
        <is>
          <t>VÄRNAMO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14353-2022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44652</v>
      </c>
      <c r="E485" s="1" t="n">
        <v>46279</v>
      </c>
      <c r="F485" t="inlineStr">
        <is>
          <t>JÖNKÖPINGS LÄN</t>
        </is>
      </c>
      <c r="G485" t="inlineStr">
        <is>
          <t>VÄRNAMO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44677-2022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44840</v>
      </c>
      <c r="E486" s="1" t="n">
        <v>46279</v>
      </c>
      <c r="F486" t="inlineStr">
        <is>
          <t>JÖNKÖPINGS LÄN</t>
        </is>
      </c>
      <c r="G486" t="inlineStr">
        <is>
          <t>VÄRNAMO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21874-2024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45443</v>
      </c>
      <c r="E487" s="1" t="n">
        <v>46279</v>
      </c>
      <c r="F487" t="inlineStr">
        <is>
          <t>JÖNKÖPINGS LÄN</t>
        </is>
      </c>
      <c r="G487" t="inlineStr">
        <is>
          <t>VÄRNAMO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9992-2023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44985</v>
      </c>
      <c r="E488" s="1" t="n">
        <v>46279</v>
      </c>
      <c r="F488" t="inlineStr">
        <is>
          <t>JÖNKÖPINGS LÄN</t>
        </is>
      </c>
      <c r="G488" t="inlineStr">
        <is>
          <t>VÄRNAMO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44928</v>
      </c>
      <c r="E489" s="1" t="n">
        <v>46279</v>
      </c>
      <c r="F489" t="inlineStr">
        <is>
          <t>JÖNKÖPINGS LÄN</t>
        </is>
      </c>
      <c r="G489" t="inlineStr">
        <is>
          <t>VÄRNAMO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42817-2024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45566</v>
      </c>
      <c r="E490" s="1" t="n">
        <v>46279</v>
      </c>
      <c r="F490" t="inlineStr">
        <is>
          <t>JÖNKÖPINGS LÄN</t>
        </is>
      </c>
      <c r="G490" t="inlineStr">
        <is>
          <t>VÄRNAMO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13285-2026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46093</v>
      </c>
      <c r="E491" s="1" t="n">
        <v>46279</v>
      </c>
      <c r="F491" t="inlineStr">
        <is>
          <t>JÖNKÖPINGS LÄN</t>
        </is>
      </c>
      <c r="G491" t="inlineStr">
        <is>
          <t>VÄRNAMO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7130-2023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44970</v>
      </c>
      <c r="E492" s="1" t="n">
        <v>46279</v>
      </c>
      <c r="F492" t="inlineStr">
        <is>
          <t>JÖNKÖPINGS LÄN</t>
        </is>
      </c>
      <c r="G492" t="inlineStr">
        <is>
          <t>VÄRNAMO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51754-2024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45607</v>
      </c>
      <c r="E493" s="1" t="n">
        <v>46279</v>
      </c>
      <c r="F493" t="inlineStr">
        <is>
          <t>JÖNKÖPINGS LÄN</t>
        </is>
      </c>
      <c r="G493" t="inlineStr">
        <is>
          <t>VÄRNAMO</t>
        </is>
      </c>
      <c r="I493" t="n">
        <v>5.4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46867-2023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45200</v>
      </c>
      <c r="E494" s="1" t="n">
        <v>46279</v>
      </c>
      <c r="F494" t="inlineStr">
        <is>
          <t>JÖNKÖPINGS LÄN</t>
        </is>
      </c>
      <c r="G494" t="inlineStr">
        <is>
          <t>VÄRNAMO</t>
        </is>
      </c>
      <c r="H494" t="inlineStr">
        <is>
          <t>Övriga Aktiebolag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55606-2024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45622</v>
      </c>
      <c r="E495" s="1" t="n">
        <v>46279</v>
      </c>
      <c r="F495" t="inlineStr">
        <is>
          <t>JÖNKÖPINGS LÄN</t>
        </is>
      </c>
      <c r="G495" t="inlineStr">
        <is>
          <t>VÄRNAMO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43858-2023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45187</v>
      </c>
      <c r="E496" s="1" t="n">
        <v>46279</v>
      </c>
      <c r="F496" t="inlineStr">
        <is>
          <t>JÖNKÖPINGS LÄN</t>
        </is>
      </c>
      <c r="G496" t="inlineStr">
        <is>
          <t>VÄRNAMO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47738-2023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45203</v>
      </c>
      <c r="E497" s="1" t="n">
        <v>46279</v>
      </c>
      <c r="F497" t="inlineStr">
        <is>
          <t>JÖNKÖPINGS LÄN</t>
        </is>
      </c>
      <c r="G497" t="inlineStr">
        <is>
          <t>VÄRNAMO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31107-2026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46206</v>
      </c>
      <c r="E498" s="1" t="n">
        <v>46279</v>
      </c>
      <c r="F498" t="inlineStr">
        <is>
          <t>JÖNKÖPINGS LÄN</t>
        </is>
      </c>
      <c r="G498" t="inlineStr">
        <is>
          <t>VÄRNAMO</t>
        </is>
      </c>
      <c r="I498" t="n">
        <v>6.5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17464-2023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45036</v>
      </c>
      <c r="E499" s="1" t="n">
        <v>46279</v>
      </c>
      <c r="F499" t="inlineStr">
        <is>
          <t>JÖNKÖPINGS LÄN</t>
        </is>
      </c>
      <c r="G499" t="inlineStr">
        <is>
          <t>VÄRNAMO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61503-2021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44501</v>
      </c>
      <c r="E500" s="1" t="n">
        <v>46279</v>
      </c>
      <c r="F500" t="inlineStr">
        <is>
          <t>JÖNKÖPINGS LÄN</t>
        </is>
      </c>
      <c r="G500" t="inlineStr">
        <is>
          <t>VÄRNAMO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62276-2023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45267</v>
      </c>
      <c r="E501" s="1" t="n">
        <v>46279</v>
      </c>
      <c r="F501" t="inlineStr">
        <is>
          <t>JÖNKÖPINGS LÄN</t>
        </is>
      </c>
      <c r="G501" t="inlineStr">
        <is>
          <t>VÄRNAMO</t>
        </is>
      </c>
      <c r="I501" t="n">
        <v>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45818-2022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44846</v>
      </c>
      <c r="E502" s="1" t="n">
        <v>46279</v>
      </c>
      <c r="F502" t="inlineStr">
        <is>
          <t>JÖNKÖPINGS LÄN</t>
        </is>
      </c>
      <c r="G502" t="inlineStr">
        <is>
          <t>VÄRNAMO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18600-2023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45043</v>
      </c>
      <c r="E503" s="1" t="n">
        <v>46279</v>
      </c>
      <c r="F503" t="inlineStr">
        <is>
          <t>JÖNKÖPINGS LÄN</t>
        </is>
      </c>
      <c r="G503" t="inlineStr">
        <is>
          <t>VÄRNAMO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9305-2022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44616</v>
      </c>
      <c r="E504" s="1" t="n">
        <v>46279</v>
      </c>
      <c r="F504" t="inlineStr">
        <is>
          <t>JÖNKÖPINGS LÄN</t>
        </is>
      </c>
      <c r="G504" t="inlineStr">
        <is>
          <t>VÄRNAMO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29765-2026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46204</v>
      </c>
      <c r="E505" s="1" t="n">
        <v>46279</v>
      </c>
      <c r="F505" t="inlineStr">
        <is>
          <t>JÖNKÖPINGS LÄN</t>
        </is>
      </c>
      <c r="G505" t="inlineStr">
        <is>
          <t>VÄRNAMO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33729-2026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46251</v>
      </c>
      <c r="E506" s="1" t="n">
        <v>46279</v>
      </c>
      <c r="F506" t="inlineStr">
        <is>
          <t>JÖNKÖPINGS LÄN</t>
        </is>
      </c>
      <c r="G506" t="inlineStr">
        <is>
          <t>VÄRNAMO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57119-2023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45245</v>
      </c>
      <c r="E507" s="1" t="n">
        <v>46279</v>
      </c>
      <c r="F507" t="inlineStr">
        <is>
          <t>JÖNKÖPINGS LÄN</t>
        </is>
      </c>
      <c r="G507" t="inlineStr">
        <is>
          <t>VÄRNAMO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57371-2023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45245</v>
      </c>
      <c r="E508" s="1" t="n">
        <v>46279</v>
      </c>
      <c r="F508" t="inlineStr">
        <is>
          <t>JÖNKÖPINGS LÄN</t>
        </is>
      </c>
      <c r="G508" t="inlineStr">
        <is>
          <t>VÄRNAMO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51474-2023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45221</v>
      </c>
      <c r="E509" s="1" t="n">
        <v>46279</v>
      </c>
      <c r="F509" t="inlineStr">
        <is>
          <t>JÖNKÖPINGS LÄN</t>
        </is>
      </c>
      <c r="G509" t="inlineStr">
        <is>
          <t>VÄRNAMO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7430-2023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44971</v>
      </c>
      <c r="E510" s="1" t="n">
        <v>46279</v>
      </c>
      <c r="F510" t="inlineStr">
        <is>
          <t>JÖNKÖPINGS LÄN</t>
        </is>
      </c>
      <c r="G510" t="inlineStr">
        <is>
          <t>VÄRNAMO</t>
        </is>
      </c>
      <c r="H510" t="inlineStr">
        <is>
          <t>Kommuner</t>
        </is>
      </c>
      <c r="I510" t="n">
        <v>12.9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27527-2024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45474</v>
      </c>
      <c r="E511" s="1" t="n">
        <v>46279</v>
      </c>
      <c r="F511" t="inlineStr">
        <is>
          <t>JÖNKÖPINGS LÄN</t>
        </is>
      </c>
      <c r="G511" t="inlineStr">
        <is>
          <t>VÄRNAMO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30172-2026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46206</v>
      </c>
      <c r="E512" s="1" t="n">
        <v>46279</v>
      </c>
      <c r="F512" t="inlineStr">
        <is>
          <t>JÖNKÖPINGS LÄN</t>
        </is>
      </c>
      <c r="G512" t="inlineStr">
        <is>
          <t>VÄRNAMO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30169-2026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46206</v>
      </c>
      <c r="E513" s="1" t="n">
        <v>46279</v>
      </c>
      <c r="F513" t="inlineStr">
        <is>
          <t>JÖNKÖPINGS LÄN</t>
        </is>
      </c>
      <c r="G513" t="inlineStr">
        <is>
          <t>VÄRNAMO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60178-2024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45642</v>
      </c>
      <c r="E514" s="1" t="n">
        <v>46279</v>
      </c>
      <c r="F514" t="inlineStr">
        <is>
          <t>JÖNKÖPINGS LÄN</t>
        </is>
      </c>
      <c r="G514" t="inlineStr">
        <is>
          <t>VÄRNAMO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58766-2022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44903</v>
      </c>
      <c r="E515" s="1" t="n">
        <v>46279</v>
      </c>
      <c r="F515" t="inlineStr">
        <is>
          <t>JÖNKÖPINGS LÄN</t>
        </is>
      </c>
      <c r="G515" t="inlineStr">
        <is>
          <t>VÄRNAMO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12892-2022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44642</v>
      </c>
      <c r="E516" s="1" t="n">
        <v>46279</v>
      </c>
      <c r="F516" t="inlineStr">
        <is>
          <t>JÖNKÖPINGS LÄN</t>
        </is>
      </c>
      <c r="G516" t="inlineStr">
        <is>
          <t>VÄRNAMO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2094-2022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44577</v>
      </c>
      <c r="E517" s="1" t="n">
        <v>46279</v>
      </c>
      <c r="F517" t="inlineStr">
        <is>
          <t>JÖNKÖPINGS LÄN</t>
        </is>
      </c>
      <c r="G517" t="inlineStr">
        <is>
          <t>VÄRNAMO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29459-2023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45106</v>
      </c>
      <c r="E518" s="1" t="n">
        <v>46279</v>
      </c>
      <c r="F518" t="inlineStr">
        <is>
          <t>JÖNKÖPINGS LÄN</t>
        </is>
      </c>
      <c r="G518" t="inlineStr">
        <is>
          <t>VÄRNAMO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63443-2023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45274</v>
      </c>
      <c r="E519" s="1" t="n">
        <v>46279</v>
      </c>
      <c r="F519" t="inlineStr">
        <is>
          <t>JÖNKÖPINGS LÄN</t>
        </is>
      </c>
      <c r="G519" t="inlineStr">
        <is>
          <t>VÄRNAMO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33731-2026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46251</v>
      </c>
      <c r="E520" s="1" t="n">
        <v>46279</v>
      </c>
      <c r="F520" t="inlineStr">
        <is>
          <t>JÖNKÖPINGS LÄN</t>
        </is>
      </c>
      <c r="G520" t="inlineStr">
        <is>
          <t>VÄRNAMO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30173-2026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46206</v>
      </c>
      <c r="E521" s="1" t="n">
        <v>46279</v>
      </c>
      <c r="F521" t="inlineStr">
        <is>
          <t>JÖNKÖPINGS LÄN</t>
        </is>
      </c>
      <c r="G521" t="inlineStr">
        <is>
          <t>VÄRNAMO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46051-2025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45924</v>
      </c>
      <c r="E522" s="1" t="n">
        <v>46279</v>
      </c>
      <c r="F522" t="inlineStr">
        <is>
          <t>JÖNKÖPINGS LÄN</t>
        </is>
      </c>
      <c r="G522" t="inlineStr">
        <is>
          <t>VÄRNAMO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41460-2023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45175</v>
      </c>
      <c r="E523" s="1" t="n">
        <v>46279</v>
      </c>
      <c r="F523" t="inlineStr">
        <is>
          <t>JÖNKÖPINGS LÄN</t>
        </is>
      </c>
      <c r="G523" t="inlineStr">
        <is>
          <t>VÄRNAMO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30617-2023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45112</v>
      </c>
      <c r="E524" s="1" t="n">
        <v>46279</v>
      </c>
      <c r="F524" t="inlineStr">
        <is>
          <t>JÖNKÖPINGS LÄN</t>
        </is>
      </c>
      <c r="G524" t="inlineStr">
        <is>
          <t>VÄRNAMO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15122-2026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46105</v>
      </c>
      <c r="E525" s="1" t="n">
        <v>46279</v>
      </c>
      <c r="F525" t="inlineStr">
        <is>
          <t>JÖNKÖPINGS LÄN</t>
        </is>
      </c>
      <c r="G525" t="inlineStr">
        <is>
          <t>VÄRNAMO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34402-2026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46254</v>
      </c>
      <c r="E526" s="1" t="n">
        <v>46279</v>
      </c>
      <c r="F526" t="inlineStr">
        <is>
          <t>JÖNKÖPINGS LÄN</t>
        </is>
      </c>
      <c r="G526" t="inlineStr">
        <is>
          <t>VÄRNAMO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10682-2024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45369</v>
      </c>
      <c r="E527" s="1" t="n">
        <v>46279</v>
      </c>
      <c r="F527" t="inlineStr">
        <is>
          <t>JÖNKÖPINGS LÄN</t>
        </is>
      </c>
      <c r="G527" t="inlineStr">
        <is>
          <t>VÄRNAMO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13190-2024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45386</v>
      </c>
      <c r="E528" s="1" t="n">
        <v>46279</v>
      </c>
      <c r="F528" t="inlineStr">
        <is>
          <t>JÖNKÖPINGS LÄN</t>
        </is>
      </c>
      <c r="G528" t="inlineStr">
        <is>
          <t>VÄRNAMO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8913-2024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45357</v>
      </c>
      <c r="E529" s="1" t="n">
        <v>46279</v>
      </c>
      <c r="F529" t="inlineStr">
        <is>
          <t>JÖNKÖPINGS LÄN</t>
        </is>
      </c>
      <c r="G529" t="inlineStr">
        <is>
          <t>VÄRNAMO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42366-2024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45563</v>
      </c>
      <c r="E530" s="1" t="n">
        <v>46279</v>
      </c>
      <c r="F530" t="inlineStr">
        <is>
          <t>JÖNKÖPINGS LÄN</t>
        </is>
      </c>
      <c r="G530" t="inlineStr">
        <is>
          <t>VÄRNAMO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34772-2026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46258</v>
      </c>
      <c r="E531" s="1" t="n">
        <v>46279</v>
      </c>
      <c r="F531" t="inlineStr">
        <is>
          <t>JÖNKÖPINGS LÄN</t>
        </is>
      </c>
      <c r="G531" t="inlineStr">
        <is>
          <t>VÄRNAMO</t>
        </is>
      </c>
      <c r="I531" t="n">
        <v>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15248-2024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45400</v>
      </c>
      <c r="E532" s="1" t="n">
        <v>46279</v>
      </c>
      <c r="F532" t="inlineStr">
        <is>
          <t>JÖNKÖPINGS LÄN</t>
        </is>
      </c>
      <c r="G532" t="inlineStr">
        <is>
          <t>VÄRNAMO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60097-2024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45642</v>
      </c>
      <c r="E533" s="1" t="n">
        <v>46279</v>
      </c>
      <c r="F533" t="inlineStr">
        <is>
          <t>JÖNKÖPINGS LÄN</t>
        </is>
      </c>
      <c r="G533" t="inlineStr">
        <is>
          <t>VÄRNAMO</t>
        </is>
      </c>
      <c r="H533" t="inlineStr">
        <is>
          <t>Sveaskog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23922-2023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45078</v>
      </c>
      <c r="E534" s="1" t="n">
        <v>46279</v>
      </c>
      <c r="F534" t="inlineStr">
        <is>
          <t>JÖNKÖPINGS LÄN</t>
        </is>
      </c>
      <c r="G534" t="inlineStr">
        <is>
          <t>VÄRNAMO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11382-2024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45372</v>
      </c>
      <c r="E535" s="1" t="n">
        <v>46279</v>
      </c>
      <c r="F535" t="inlineStr">
        <is>
          <t>JÖNKÖPINGS LÄN</t>
        </is>
      </c>
      <c r="G535" t="inlineStr">
        <is>
          <t>VÄRNAMO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14211-2023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45009</v>
      </c>
      <c r="E536" s="1" t="n">
        <v>46279</v>
      </c>
      <c r="F536" t="inlineStr">
        <is>
          <t>JÖNKÖPINGS LÄN</t>
        </is>
      </c>
      <c r="G536" t="inlineStr">
        <is>
          <t>VÄRNAMO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4735-2024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45328</v>
      </c>
      <c r="E537" s="1" t="n">
        <v>46279</v>
      </c>
      <c r="F537" t="inlineStr">
        <is>
          <t>JÖNKÖPINGS LÄN</t>
        </is>
      </c>
      <c r="G537" t="inlineStr">
        <is>
          <t>VÄRNAMO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29089-2023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45105</v>
      </c>
      <c r="E538" s="1" t="n">
        <v>46279</v>
      </c>
      <c r="F538" t="inlineStr">
        <is>
          <t>JÖNKÖPINGS LÄN</t>
        </is>
      </c>
      <c r="G538" t="inlineStr">
        <is>
          <t>VÄRNAMO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29090-2023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45105</v>
      </c>
      <c r="E539" s="1" t="n">
        <v>46279</v>
      </c>
      <c r="F539" t="inlineStr">
        <is>
          <t>JÖNKÖPINGS LÄN</t>
        </is>
      </c>
      <c r="G539" t="inlineStr">
        <is>
          <t>VÄRNAMO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29166-2023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45105</v>
      </c>
      <c r="E540" s="1" t="n">
        <v>46279</v>
      </c>
      <c r="F540" t="inlineStr">
        <is>
          <t>JÖNKÖPINGS LÄN</t>
        </is>
      </c>
      <c r="G540" t="inlineStr">
        <is>
          <t>VÄRNAMO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24703-2022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44727</v>
      </c>
      <c r="E541" s="1" t="n">
        <v>46279</v>
      </c>
      <c r="F541" t="inlineStr">
        <is>
          <t>JÖNKÖPINGS LÄN</t>
        </is>
      </c>
      <c r="G541" t="inlineStr">
        <is>
          <t>VÄRNAMO</t>
        </is>
      </c>
      <c r="I541" t="n">
        <v>0.2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3017-2025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45678</v>
      </c>
      <c r="E542" s="1" t="n">
        <v>46279</v>
      </c>
      <c r="F542" t="inlineStr">
        <is>
          <t>JÖNKÖPINGS LÄN</t>
        </is>
      </c>
      <c r="G542" t="inlineStr">
        <is>
          <t>VÄRNAMO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38484-2023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45162</v>
      </c>
      <c r="E543" s="1" t="n">
        <v>46279</v>
      </c>
      <c r="F543" t="inlineStr">
        <is>
          <t>JÖNKÖPINGS LÄN</t>
        </is>
      </c>
      <c r="G543" t="inlineStr">
        <is>
          <t>VÄRNAMO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35763-2026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46265</v>
      </c>
      <c r="E544" s="1" t="n">
        <v>46279</v>
      </c>
      <c r="F544" t="inlineStr">
        <is>
          <t>JÖNKÖPINGS LÄN</t>
        </is>
      </c>
      <c r="G544" t="inlineStr">
        <is>
          <t>VÄRNAMO</t>
        </is>
      </c>
      <c r="H544" t="inlineStr">
        <is>
          <t>Kommuner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12306-2023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44998</v>
      </c>
      <c r="E545" s="1" t="n">
        <v>46279</v>
      </c>
      <c r="F545" t="inlineStr">
        <is>
          <t>JÖNKÖPINGS LÄN</t>
        </is>
      </c>
      <c r="G545" t="inlineStr">
        <is>
          <t>VÄRNAMO</t>
        </is>
      </c>
      <c r="I545" t="n">
        <v>10.4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29162-2023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45105</v>
      </c>
      <c r="E546" s="1" t="n">
        <v>46279</v>
      </c>
      <c r="F546" t="inlineStr">
        <is>
          <t>JÖNKÖPINGS LÄN</t>
        </is>
      </c>
      <c r="G546" t="inlineStr">
        <is>
          <t>VÄRNAMO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29168-2023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45105</v>
      </c>
      <c r="E547" s="1" t="n">
        <v>46279</v>
      </c>
      <c r="F547" t="inlineStr">
        <is>
          <t>JÖNKÖPINGS LÄN</t>
        </is>
      </c>
      <c r="G547" t="inlineStr">
        <is>
          <t>VÄRNAMO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46863-2023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45200</v>
      </c>
      <c r="E548" s="1" t="n">
        <v>46279</v>
      </c>
      <c r="F548" t="inlineStr">
        <is>
          <t>JÖNKÖPINGS LÄN</t>
        </is>
      </c>
      <c r="G548" t="inlineStr">
        <is>
          <t>VÄRNAMO</t>
        </is>
      </c>
      <c r="H548" t="inlineStr">
        <is>
          <t>Övriga Aktiebolag</t>
        </is>
      </c>
      <c r="I548" t="n">
        <v>4.3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35739-2026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46265</v>
      </c>
      <c r="E549" s="1" t="n">
        <v>46279</v>
      </c>
      <c r="F549" t="inlineStr">
        <is>
          <t>JÖNKÖPINGS LÄN</t>
        </is>
      </c>
      <c r="G549" t="inlineStr">
        <is>
          <t>VÄRNAMO</t>
        </is>
      </c>
      <c r="H549" t="inlineStr">
        <is>
          <t>Kommuner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35720-2026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46265</v>
      </c>
      <c r="E550" s="1" t="n">
        <v>46279</v>
      </c>
      <c r="F550" t="inlineStr">
        <is>
          <t>JÖNKÖPINGS LÄN</t>
        </is>
      </c>
      <c r="G550" t="inlineStr">
        <is>
          <t>VÄRNAMO</t>
        </is>
      </c>
      <c r="H550" t="inlineStr">
        <is>
          <t>Kommuner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11990-2025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45728</v>
      </c>
      <c r="E551" s="1" t="n">
        <v>46279</v>
      </c>
      <c r="F551" t="inlineStr">
        <is>
          <t>JÖNKÖPINGS LÄN</t>
        </is>
      </c>
      <c r="G551" t="inlineStr">
        <is>
          <t>VÄRNAMO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20316-2023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45056</v>
      </c>
      <c r="E552" s="1" t="n">
        <v>46279</v>
      </c>
      <c r="F552" t="inlineStr">
        <is>
          <t>JÖNKÖPINGS LÄN</t>
        </is>
      </c>
      <c r="G552" t="inlineStr">
        <is>
          <t>VÄRNAMO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36118-2026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46267</v>
      </c>
      <c r="E553" s="1" t="n">
        <v>46279</v>
      </c>
      <c r="F553" t="inlineStr">
        <is>
          <t>JÖNKÖPINGS LÄN</t>
        </is>
      </c>
      <c r="G553" t="inlineStr">
        <is>
          <t>VÄRNAMO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36259-2026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46268</v>
      </c>
      <c r="E554" s="1" t="n">
        <v>46279</v>
      </c>
      <c r="F554" t="inlineStr">
        <is>
          <t>JÖNKÖPINGS LÄN</t>
        </is>
      </c>
      <c r="G554" t="inlineStr">
        <is>
          <t>VÄRNAMO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11213-2024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45371</v>
      </c>
      <c r="E555" s="1" t="n">
        <v>46279</v>
      </c>
      <c r="F555" t="inlineStr">
        <is>
          <t>JÖNKÖPINGS LÄN</t>
        </is>
      </c>
      <c r="G555" t="inlineStr">
        <is>
          <t>VÄRNAMO</t>
        </is>
      </c>
      <c r="H555" t="inlineStr">
        <is>
          <t>Sveaskog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49605-2024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45596</v>
      </c>
      <c r="E556" s="1" t="n">
        <v>46279</v>
      </c>
      <c r="F556" t="inlineStr">
        <is>
          <t>JÖNKÖPINGS LÄN</t>
        </is>
      </c>
      <c r="G556" t="inlineStr">
        <is>
          <t>VÄRNAMO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36613-2026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46269</v>
      </c>
      <c r="E557" s="1" t="n">
        <v>46279</v>
      </c>
      <c r="F557" t="inlineStr">
        <is>
          <t>JÖNKÖPINGS LÄN</t>
        </is>
      </c>
      <c r="G557" t="inlineStr">
        <is>
          <t>VÄRNAMO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38664-2024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45547</v>
      </c>
      <c r="E558" s="1" t="n">
        <v>46279</v>
      </c>
      <c r="F558" t="inlineStr">
        <is>
          <t>JÖNKÖPINGS LÄN</t>
        </is>
      </c>
      <c r="G558" t="inlineStr">
        <is>
          <t>VÄRNAMO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54477-2022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44882</v>
      </c>
      <c r="E559" s="1" t="n">
        <v>46279</v>
      </c>
      <c r="F559" t="inlineStr">
        <is>
          <t>JÖNKÖPINGS LÄN</t>
        </is>
      </c>
      <c r="G559" t="inlineStr">
        <is>
          <t>VÄRNAMO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63915-2023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45278</v>
      </c>
      <c r="E560" s="1" t="n">
        <v>46279</v>
      </c>
      <c r="F560" t="inlineStr">
        <is>
          <t>JÖNKÖPINGS LÄN</t>
        </is>
      </c>
      <c r="G560" t="inlineStr">
        <is>
          <t>VÄRNAMO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31429-2024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45505</v>
      </c>
      <c r="E561" s="1" t="n">
        <v>46279</v>
      </c>
      <c r="F561" t="inlineStr">
        <is>
          <t>JÖNKÖPINGS LÄN</t>
        </is>
      </c>
      <c r="G561" t="inlineStr">
        <is>
          <t>VÄRNAMO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39639-2023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45167</v>
      </c>
      <c r="E562" s="1" t="n">
        <v>46279</v>
      </c>
      <c r="F562" t="inlineStr">
        <is>
          <t>JÖNKÖPINGS LÄN</t>
        </is>
      </c>
      <c r="G562" t="inlineStr">
        <is>
          <t>VÄRNAMO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54693-2024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45618</v>
      </c>
      <c r="E563" s="1" t="n">
        <v>46279</v>
      </c>
      <c r="F563" t="inlineStr">
        <is>
          <t>JÖNKÖPINGS LÄN</t>
        </is>
      </c>
      <c r="G563" t="inlineStr">
        <is>
          <t>VÄRNAMO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9038-2025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45713</v>
      </c>
      <c r="E564" s="1" t="n">
        <v>46279</v>
      </c>
      <c r="F564" t="inlineStr">
        <is>
          <t>JÖNKÖPINGS LÄN</t>
        </is>
      </c>
      <c r="G564" t="inlineStr">
        <is>
          <t>VÄRNAMO</t>
        </is>
      </c>
      <c r="H564" t="inlineStr">
        <is>
          <t>Sveaskog</t>
        </is>
      </c>
      <c r="I564" t="n">
        <v>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4586-2025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45687</v>
      </c>
      <c r="E565" s="1" t="n">
        <v>46279</v>
      </c>
      <c r="F565" t="inlineStr">
        <is>
          <t>JÖNKÖPINGS LÄN</t>
        </is>
      </c>
      <c r="G565" t="inlineStr">
        <is>
          <t>VÄRNAMO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29382-2024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45483</v>
      </c>
      <c r="E566" s="1" t="n">
        <v>46279</v>
      </c>
      <c r="F566" t="inlineStr">
        <is>
          <t>JÖNKÖPINGS LÄN</t>
        </is>
      </c>
      <c r="G566" t="inlineStr">
        <is>
          <t>VÄRNAMO</t>
        </is>
      </c>
      <c r="I566" t="n">
        <v>0.2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62798-2023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45271</v>
      </c>
      <c r="E567" s="1" t="n">
        <v>46279</v>
      </c>
      <c r="F567" t="inlineStr">
        <is>
          <t>JÖNKÖPINGS LÄN</t>
        </is>
      </c>
      <c r="G567" t="inlineStr">
        <is>
          <t>VÄRNAMO</t>
        </is>
      </c>
      <c r="H567" t="inlineStr">
        <is>
          <t>Kommuner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31790-2026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46230</v>
      </c>
      <c r="E568" s="1" t="n">
        <v>46279</v>
      </c>
      <c r="F568" t="inlineStr">
        <is>
          <t>JÖNKÖPINGS LÄN</t>
        </is>
      </c>
      <c r="G568" t="inlineStr">
        <is>
          <t>VÄRNAMO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31796-2026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46230</v>
      </c>
      <c r="E569" s="1" t="n">
        <v>46279</v>
      </c>
      <c r="F569" t="inlineStr">
        <is>
          <t>JÖNKÖPINGS LÄN</t>
        </is>
      </c>
      <c r="G569" t="inlineStr">
        <is>
          <t>VÄRNAMO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31811-2026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46230</v>
      </c>
      <c r="E570" s="1" t="n">
        <v>46279</v>
      </c>
      <c r="F570" t="inlineStr">
        <is>
          <t>JÖNKÖPINGS LÄN</t>
        </is>
      </c>
      <c r="G570" t="inlineStr">
        <is>
          <t>VÄRNAMO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2423-2025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45674</v>
      </c>
      <c r="E571" s="1" t="n">
        <v>46279</v>
      </c>
      <c r="F571" t="inlineStr">
        <is>
          <t>JÖNKÖPINGS LÄN</t>
        </is>
      </c>
      <c r="G571" t="inlineStr">
        <is>
          <t>VÄRNAMO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32878-2026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46244</v>
      </c>
      <c r="E572" s="1" t="n">
        <v>46279</v>
      </c>
      <c r="F572" t="inlineStr">
        <is>
          <t>JÖNKÖPINGS LÄN</t>
        </is>
      </c>
      <c r="G572" t="inlineStr">
        <is>
          <t>VÄRNAMO</t>
        </is>
      </c>
      <c r="I572" t="n">
        <v>11.7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32884-2026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46244</v>
      </c>
      <c r="E573" s="1" t="n">
        <v>46279</v>
      </c>
      <c r="F573" t="inlineStr">
        <is>
          <t>JÖNKÖPINGS LÄN</t>
        </is>
      </c>
      <c r="G573" t="inlineStr">
        <is>
          <t>VÄRNAMO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37592-2026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46276</v>
      </c>
      <c r="E574" s="1" t="n">
        <v>46279</v>
      </c>
      <c r="F574" t="inlineStr">
        <is>
          <t>JÖNKÖPINGS LÄN</t>
        </is>
      </c>
      <c r="G574" t="inlineStr">
        <is>
          <t>VÄRNAMO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1208-2025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45667</v>
      </c>
      <c r="E575" s="1" t="n">
        <v>46279</v>
      </c>
      <c r="F575" t="inlineStr">
        <is>
          <t>JÖNKÖPINGS LÄN</t>
        </is>
      </c>
      <c r="G575" t="inlineStr">
        <is>
          <t>VÄRNAMO</t>
        </is>
      </c>
      <c r="I575" t="n">
        <v>6.1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47822-2023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45204</v>
      </c>
      <c r="E576" s="1" t="n">
        <v>46279</v>
      </c>
      <c r="F576" t="inlineStr">
        <is>
          <t>JÖNKÖPINGS LÄN</t>
        </is>
      </c>
      <c r="G576" t="inlineStr">
        <is>
          <t>VÄRNAMO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49960-2024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45597</v>
      </c>
      <c r="E577" s="1" t="n">
        <v>46279</v>
      </c>
      <c r="F577" t="inlineStr">
        <is>
          <t>JÖNKÖPINGS LÄN</t>
        </is>
      </c>
      <c r="G577" t="inlineStr">
        <is>
          <t>VÄRNAMO</t>
        </is>
      </c>
      <c r="I577" t="n">
        <v>6.2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53131-2023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45229</v>
      </c>
      <c r="E578" s="1" t="n">
        <v>46279</v>
      </c>
      <c r="F578" t="inlineStr">
        <is>
          <t>JÖNKÖPINGS LÄN</t>
        </is>
      </c>
      <c r="G578" t="inlineStr">
        <is>
          <t>VÄRNAMO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9156-2024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45358</v>
      </c>
      <c r="E579" s="1" t="n">
        <v>46279</v>
      </c>
      <c r="F579" t="inlineStr">
        <is>
          <t>JÖNKÖPINGS LÄN</t>
        </is>
      </c>
      <c r="G579" t="inlineStr">
        <is>
          <t>VÄRNAMO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4076-2025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45684</v>
      </c>
      <c r="E580" s="1" t="n">
        <v>46279</v>
      </c>
      <c r="F580" t="inlineStr">
        <is>
          <t>JÖNKÖPINGS LÄN</t>
        </is>
      </c>
      <c r="G580" t="inlineStr">
        <is>
          <t>VÄRNAMO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35359-2023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45146</v>
      </c>
      <c r="E581" s="1" t="n">
        <v>46279</v>
      </c>
      <c r="F581" t="inlineStr">
        <is>
          <t>JÖNKÖPINGS LÄN</t>
        </is>
      </c>
      <c r="G581" t="inlineStr">
        <is>
          <t>VÄRNAMO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61345-2023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45264</v>
      </c>
      <c r="E582" s="1" t="n">
        <v>46279</v>
      </c>
      <c r="F582" t="inlineStr">
        <is>
          <t>JÖNKÖPINGS LÄN</t>
        </is>
      </c>
      <c r="G582" t="inlineStr">
        <is>
          <t>VÄRNAMO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1273-2025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45667</v>
      </c>
      <c r="E583" s="1" t="n">
        <v>46279</v>
      </c>
      <c r="F583" t="inlineStr">
        <is>
          <t>JÖNKÖPINGS LÄN</t>
        </is>
      </c>
      <c r="G583" t="inlineStr">
        <is>
          <t>VÄRNAMO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37899-2023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45160</v>
      </c>
      <c r="E584" s="1" t="n">
        <v>46279</v>
      </c>
      <c r="F584" t="inlineStr">
        <is>
          <t>JÖNKÖPINGS LÄN</t>
        </is>
      </c>
      <c r="G584" t="inlineStr">
        <is>
          <t>VÄRNAMO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21104-2025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45777</v>
      </c>
      <c r="E585" s="1" t="n">
        <v>46279</v>
      </c>
      <c r="F585" t="inlineStr">
        <is>
          <t>JÖNKÖPINGS LÄN</t>
        </is>
      </c>
      <c r="G585" t="inlineStr">
        <is>
          <t>VÄRNAMO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48186-2024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45589</v>
      </c>
      <c r="E586" s="1" t="n">
        <v>46279</v>
      </c>
      <c r="F586" t="inlineStr">
        <is>
          <t>JÖNKÖPINGS LÄN</t>
        </is>
      </c>
      <c r="G586" t="inlineStr">
        <is>
          <t>VÄRNAMO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19090-2024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45428</v>
      </c>
      <c r="E587" s="1" t="n">
        <v>46279</v>
      </c>
      <c r="F587" t="inlineStr">
        <is>
          <t>JÖNKÖPINGS LÄN</t>
        </is>
      </c>
      <c r="G587" t="inlineStr">
        <is>
          <t>VÄRNAMO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22220-2024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45445</v>
      </c>
      <c r="E588" s="1" t="n">
        <v>46279</v>
      </c>
      <c r="F588" t="inlineStr">
        <is>
          <t>JÖNKÖPINGS LÄN</t>
        </is>
      </c>
      <c r="G588" t="inlineStr">
        <is>
          <t>VÄRNAMO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38662-2024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45547</v>
      </c>
      <c r="E589" s="1" t="n">
        <v>46279</v>
      </c>
      <c r="F589" t="inlineStr">
        <is>
          <t>JÖNKÖPINGS LÄN</t>
        </is>
      </c>
      <c r="G589" t="inlineStr">
        <is>
          <t>VÄRNAMO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26271-2024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45468</v>
      </c>
      <c r="E590" s="1" t="n">
        <v>46279</v>
      </c>
      <c r="F590" t="inlineStr">
        <is>
          <t>JÖNKÖPINGS LÄN</t>
        </is>
      </c>
      <c r="G590" t="inlineStr">
        <is>
          <t>VÄRNAMO</t>
        </is>
      </c>
      <c r="I590" t="n">
        <v>5.7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56413-2023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45243</v>
      </c>
      <c r="E591" s="1" t="n">
        <v>46279</v>
      </c>
      <c r="F591" t="inlineStr">
        <is>
          <t>JÖNKÖPINGS LÄN</t>
        </is>
      </c>
      <c r="G591" t="inlineStr">
        <is>
          <t>VÄRNAMO</t>
        </is>
      </c>
      <c r="I591" t="n">
        <v>3.9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22994-2025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45790</v>
      </c>
      <c r="E592" s="1" t="n">
        <v>46279</v>
      </c>
      <c r="F592" t="inlineStr">
        <is>
          <t>JÖNKÖPINGS LÄN</t>
        </is>
      </c>
      <c r="G592" t="inlineStr">
        <is>
          <t>VÄRNAMO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41893-2024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45561</v>
      </c>
      <c r="E593" s="1" t="n">
        <v>46279</v>
      </c>
      <c r="F593" t="inlineStr">
        <is>
          <t>JÖNKÖPINGS LÄN</t>
        </is>
      </c>
      <c r="G593" t="inlineStr">
        <is>
          <t>VÄRNAMO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11112-2025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45723</v>
      </c>
      <c r="E594" s="1" t="n">
        <v>46279</v>
      </c>
      <c r="F594" t="inlineStr">
        <is>
          <t>JÖNKÖPINGS LÄN</t>
        </is>
      </c>
      <c r="G594" t="inlineStr">
        <is>
          <t>VÄRNAMO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24100-2025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45796</v>
      </c>
      <c r="E595" s="1" t="n">
        <v>46279</v>
      </c>
      <c r="F595" t="inlineStr">
        <is>
          <t>JÖNKÖPINGS LÄN</t>
        </is>
      </c>
      <c r="G595" t="inlineStr">
        <is>
          <t>VÄRNAMO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23671-2025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45792</v>
      </c>
      <c r="E596" s="1" t="n">
        <v>46279</v>
      </c>
      <c r="F596" t="inlineStr">
        <is>
          <t>JÖNKÖPINGS LÄN</t>
        </is>
      </c>
      <c r="G596" t="inlineStr">
        <is>
          <t>VÄRNAMO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2490-2025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45674</v>
      </c>
      <c r="E597" s="1" t="n">
        <v>46279</v>
      </c>
      <c r="F597" t="inlineStr">
        <is>
          <t>JÖNKÖPINGS LÄN</t>
        </is>
      </c>
      <c r="G597" t="inlineStr">
        <is>
          <t>VÄRNAMO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25084-2025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45800</v>
      </c>
      <c r="E598" s="1" t="n">
        <v>46279</v>
      </c>
      <c r="F598" t="inlineStr">
        <is>
          <t>JÖNKÖPINGS LÄN</t>
        </is>
      </c>
      <c r="G598" t="inlineStr">
        <is>
          <t>VÄRNAMO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20835-2024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45439</v>
      </c>
      <c r="E599" s="1" t="n">
        <v>46279</v>
      </c>
      <c r="F599" t="inlineStr">
        <is>
          <t>JÖNKÖPINGS LÄN</t>
        </is>
      </c>
      <c r="G599" t="inlineStr">
        <is>
          <t>VÄRNAMO</t>
        </is>
      </c>
      <c r="I599" t="n">
        <v>4.1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16456-2025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45750</v>
      </c>
      <c r="E600" s="1" t="n">
        <v>46279</v>
      </c>
      <c r="F600" t="inlineStr">
        <is>
          <t>JÖNKÖPINGS LÄN</t>
        </is>
      </c>
      <c r="G600" t="inlineStr">
        <is>
          <t>VÄRNAMO</t>
        </is>
      </c>
      <c r="I600" t="n">
        <v>10.4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25626-2025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45803</v>
      </c>
      <c r="E601" s="1" t="n">
        <v>46279</v>
      </c>
      <c r="F601" t="inlineStr">
        <is>
          <t>JÖNKÖPINGS LÄN</t>
        </is>
      </c>
      <c r="G601" t="inlineStr">
        <is>
          <t>VÄRNAMO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52146-2024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45608</v>
      </c>
      <c r="E602" s="1" t="n">
        <v>46279</v>
      </c>
      <c r="F602" t="inlineStr">
        <is>
          <t>JÖNKÖPINGS LÄN</t>
        </is>
      </c>
      <c r="G602" t="inlineStr">
        <is>
          <t>VÄRNAMO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42494-2023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45180</v>
      </c>
      <c r="E603" s="1" t="n">
        <v>46279</v>
      </c>
      <c r="F603" t="inlineStr">
        <is>
          <t>JÖNKÖPINGS LÄN</t>
        </is>
      </c>
      <c r="G603" t="inlineStr">
        <is>
          <t>VÄRNAMO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1652-2025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45670</v>
      </c>
      <c r="E604" s="1" t="n">
        <v>46279</v>
      </c>
      <c r="F604" t="inlineStr">
        <is>
          <t>JÖNKÖPINGS LÄN</t>
        </is>
      </c>
      <c r="G604" t="inlineStr">
        <is>
          <t>VÄRNAMO</t>
        </is>
      </c>
      <c r="I604" t="n">
        <v>12.6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61725-2024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45649</v>
      </c>
      <c r="E605" s="1" t="n">
        <v>46279</v>
      </c>
      <c r="F605" t="inlineStr">
        <is>
          <t>JÖNKÖPINGS LÄN</t>
        </is>
      </c>
      <c r="G605" t="inlineStr">
        <is>
          <t>VÄRNAMO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3709-2021</t>
        </is>
      </c>
      <c r="B606" t="inlineStr">
        <is>
          <t>samrådsanmälan</t>
        </is>
      </c>
      <c r="C606" t="inlineStr">
        <is>
          <t>Åtgärd i nyckelbiotop</t>
        </is>
      </c>
      <c r="D606" s="1" t="n">
        <v>44379</v>
      </c>
      <c r="E606" s="1" t="n">
        <v>46279</v>
      </c>
      <c r="F606" t="inlineStr">
        <is>
          <t>JÖNKÖPINGS LÄN</t>
        </is>
      </c>
      <c r="G606" t="inlineStr">
        <is>
          <t>VÄRNAMO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3199-2023</t>
        </is>
      </c>
      <c r="B607" t="inlineStr">
        <is>
          <t>samrådsanmälan</t>
        </is>
      </c>
      <c r="C607" t="inlineStr">
        <is>
          <t>Dikesrensning</t>
        </is>
      </c>
      <c r="D607" s="1" t="n">
        <v>45194</v>
      </c>
      <c r="E607" s="1" t="n">
        <v>46279</v>
      </c>
      <c r="F607" t="inlineStr">
        <is>
          <t>JÖNKÖPINGS LÄN</t>
        </is>
      </c>
      <c r="G607" t="inlineStr">
        <is>
          <t>VÄRNAMO</t>
        </is>
      </c>
      <c r="H607" t="inlineStr">
        <is>
          <t>Sveaskog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1595-2024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45427</v>
      </c>
      <c r="E608" s="1" t="n">
        <v>46279</v>
      </c>
      <c r="F608" t="inlineStr">
        <is>
          <t>JÖNKÖPINGS LÄN</t>
        </is>
      </c>
      <c r="G608" t="inlineStr">
        <is>
          <t>VÄRNAMO</t>
        </is>
      </c>
      <c r="I608" t="n">
        <v>51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1451-2024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45418</v>
      </c>
      <c r="E609" s="1" t="n">
        <v>46279</v>
      </c>
      <c r="F609" t="inlineStr">
        <is>
          <t>JÖNKÖPINGS LÄN</t>
        </is>
      </c>
      <c r="G609" t="inlineStr">
        <is>
          <t>VÄRNAMO</t>
        </is>
      </c>
      <c r="I609" t="n">
        <v>29.6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2455-2023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45117</v>
      </c>
      <c r="E610" s="1" t="n">
        <v>46279</v>
      </c>
      <c r="F610" t="inlineStr">
        <is>
          <t>JÖNKÖPINGS LÄN</t>
        </is>
      </c>
      <c r="G610" t="inlineStr">
        <is>
          <t>VÄRNAMO</t>
        </is>
      </c>
      <c r="H610" t="inlineStr">
        <is>
          <t>Övriga Aktiebolag</t>
        </is>
      </c>
      <c r="I610" t="n">
        <v>49.1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793-2023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44991</v>
      </c>
      <c r="E611" s="1" t="n">
        <v>46279</v>
      </c>
      <c r="F611" t="inlineStr">
        <is>
          <t>JÖNKÖPINGS LÄN</t>
        </is>
      </c>
      <c r="G611" t="inlineStr">
        <is>
          <t>VÄRNAMO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2484-2023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45119</v>
      </c>
      <c r="E612" s="1" t="n">
        <v>46279</v>
      </c>
      <c r="F612" t="inlineStr">
        <is>
          <t>JÖNKÖPINGS LÄN</t>
        </is>
      </c>
      <c r="G612" t="inlineStr">
        <is>
          <t>VÄRNAMO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1553-2024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45425</v>
      </c>
      <c r="E613" s="1" t="n">
        <v>46279</v>
      </c>
      <c r="F613" t="inlineStr">
        <is>
          <t>JÖNKÖPINGS LÄN</t>
        </is>
      </c>
      <c r="G613" t="inlineStr">
        <is>
          <t>VÄRNAMO</t>
        </is>
      </c>
      <c r="I613" t="n">
        <v>30.6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9360-2021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44519</v>
      </c>
      <c r="E614" s="1" t="n">
        <v>46279</v>
      </c>
      <c r="F614" t="inlineStr">
        <is>
          <t>JÖNKÖPINGS LÄN</t>
        </is>
      </c>
      <c r="G614" t="inlineStr">
        <is>
          <t>VÄRNAMO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1855-2024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45440</v>
      </c>
      <c r="E615" s="1" t="n">
        <v>46279</v>
      </c>
      <c r="F615" t="inlineStr">
        <is>
          <t>JÖNKÖPINGS LÄN</t>
        </is>
      </c>
      <c r="G615" t="inlineStr">
        <is>
          <t>VÄRNAMO</t>
        </is>
      </c>
      <c r="I615" t="n">
        <v>24.8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4295-2024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45583</v>
      </c>
      <c r="E616" s="1" t="n">
        <v>46279</v>
      </c>
      <c r="F616" t="inlineStr">
        <is>
          <t>JÖNKÖPINGS LÄN</t>
        </is>
      </c>
      <c r="G616" t="inlineStr">
        <is>
          <t>VÄRNAMO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9347-2021</t>
        </is>
      </c>
      <c r="B617" t="inlineStr">
        <is>
          <t>samrådsanmälan</t>
        </is>
      </c>
      <c r="C617" t="inlineStr">
        <is>
          <t>Skogsbilväg</t>
        </is>
      </c>
      <c r="D617" s="1" t="n">
        <v>44519</v>
      </c>
      <c r="E617" s="1" t="n">
        <v>46279</v>
      </c>
      <c r="F617" t="inlineStr">
        <is>
          <t>JÖNKÖPINGS LÄN</t>
        </is>
      </c>
      <c r="G617" t="inlineStr">
        <is>
          <t>VÄRNAMO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2486-2023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45119</v>
      </c>
      <c r="E618" s="1" t="n">
        <v>46279</v>
      </c>
      <c r="F618" t="inlineStr">
        <is>
          <t>JÖNKÖPINGS LÄN</t>
        </is>
      </c>
      <c r="G618" t="inlineStr">
        <is>
          <t>VÄRNAMO</t>
        </is>
      </c>
      <c r="I618" t="n">
        <v>22.8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2317-2023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45105</v>
      </c>
      <c r="E619" s="1" t="n">
        <v>46279</v>
      </c>
      <c r="F619" t="inlineStr">
        <is>
          <t>JÖNKÖPINGS LÄN</t>
        </is>
      </c>
      <c r="G619" t="inlineStr">
        <is>
          <t>VÄRNAMO</t>
        </is>
      </c>
      <c r="I619" t="n">
        <v>10.8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2512-2023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45122</v>
      </c>
      <c r="E620" s="1" t="n">
        <v>46279</v>
      </c>
      <c r="F620" t="inlineStr">
        <is>
          <t>JÖNKÖPINGS LÄN</t>
        </is>
      </c>
      <c r="G620" t="inlineStr">
        <is>
          <t>VÄRNAMO</t>
        </is>
      </c>
      <c r="I620" t="n">
        <v>63.2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7728-2021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44479</v>
      </c>
      <c r="E621" s="1" t="n">
        <v>46279</v>
      </c>
      <c r="F621" t="inlineStr">
        <is>
          <t>JÖNKÖPINGS LÄN</t>
        </is>
      </c>
      <c r="G621" t="inlineStr">
        <is>
          <t>VÄRNAMO</t>
        </is>
      </c>
      <c r="I621" t="n">
        <v>0.1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3557-2025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46010</v>
      </c>
      <c r="E622" s="1" t="n">
        <v>46279</v>
      </c>
      <c r="F622" t="inlineStr">
        <is>
          <t>JÖNKÖPINGS LÄN</t>
        </is>
      </c>
      <c r="G622" t="inlineStr">
        <is>
          <t>VÄRNAMO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5-2026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46018</v>
      </c>
      <c r="E623" s="1" t="n">
        <v>46279</v>
      </c>
      <c r="F623" t="inlineStr">
        <is>
          <t>JÖNKÖPINGS LÄN</t>
        </is>
      </c>
      <c r="G623" t="inlineStr">
        <is>
          <t>VÄRNAMO</t>
        </is>
      </c>
      <c r="I623" t="n">
        <v>8.699999999999999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249-2026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46050</v>
      </c>
      <c r="E624" s="1" t="n">
        <v>46279</v>
      </c>
      <c r="F624" t="inlineStr">
        <is>
          <t>JÖNKÖPINGS LÄN</t>
        </is>
      </c>
      <c r="G624" t="inlineStr">
        <is>
          <t>VÄRNAMO</t>
        </is>
      </c>
      <c r="H624" t="inlineStr">
        <is>
          <t>Kommuner</t>
        </is>
      </c>
      <c r="I624" t="n">
        <v>9.800000000000001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>
      <c r="A625" t="inlineStr">
        <is>
          <t>S 239-2026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46052</v>
      </c>
      <c r="E625" s="1" t="n">
        <v>46279</v>
      </c>
      <c r="F625" t="inlineStr">
        <is>
          <t>JÖNKÖPINGS LÄN</t>
        </is>
      </c>
      <c r="G625" t="inlineStr">
        <is>
          <t>VÄRNAMO</t>
        </is>
      </c>
      <c r="H625" t="inlineStr">
        <is>
          <t>Kommuner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2026-09-14T02:17:58Z</dcterms:created>
  <dcterms:modified xmlns:dcterms="http://purl.org/dc/terms/" xmlns:xsi="http://www.w3.org/2001/XMLSchema-instance" xsi:type="dcterms:W3CDTF">2026-09-14T02:17:58Z</dcterms:modified>
</cp:coreProperties>
</file>