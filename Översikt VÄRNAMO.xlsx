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46313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46313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46313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46313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46313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46313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46313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46313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46313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46313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46313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46313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46313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46313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46313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46313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46313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46313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46313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46313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46313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46313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46313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46313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46313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46313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46313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46313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46313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46313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42414-2026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46307</v>
      </c>
      <c r="E37" s="1" t="n">
        <v>46313</v>
      </c>
      <c r="F37" t="inlineStr">
        <is>
          <t>JÖNKÖPINGS LÄN</t>
        </is>
      </c>
      <c r="G37" t="inlineStr">
        <is>
          <t>VÄRNAMO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 glada</t>
        </is>
      </c>
      <c r="W37">
        <f>HYPERLINK("https://klasma.github.io/Logging_0683/artfynd/A 42414-2026 artfynd.xlsx", "A 42414-2026")</f>
        <v/>
      </c>
      <c r="X37">
        <f>HYPERLINK("https://klasma.github.io/Logging_0683/kartor/A 42414-2026 karta.png", "A 42414-2026")</f>
        <v/>
      </c>
      <c r="Y37">
        <f>HYPERLINK("https://klasma.github.io/Logging_0683/kartor_geotiff/A 42414-2026 georefererad karta.tif", "A 42414-2026")</f>
        <v/>
      </c>
      <c r="AA37">
        <f>HYPERLINK("https://klasma.github.io/Logging_0683/klagomål/A 42414-2026 FSC-klagomål.docx", "A 42414-2026")</f>
        <v/>
      </c>
      <c r="AB37">
        <f>HYPERLINK("https://klasma.github.io/Logging_0683/klagomålsmail/A 42414-2026 FSC-klagomål mail.docx", "A 42414-2026")</f>
        <v/>
      </c>
      <c r="AC37">
        <f>HYPERLINK("https://klasma.github.io/Logging_0683/tillsyn/A 42414-2026 tillsynsbegäran.docx", "A 42414-2026")</f>
        <v/>
      </c>
      <c r="AD37">
        <f>HYPERLINK("https://klasma.github.io/Logging_0683/tillsynsmail/A 42414-2026 tillsynsbegäran mail.docx", "A 42414-2026")</f>
        <v/>
      </c>
      <c r="AE37">
        <f>HYPERLINK("https://klasma.github.io/Logging_0683/fåglar/A 42414-2026 prioriterade fågelarter.docx", "A 42414-2026")</f>
        <v/>
      </c>
    </row>
    <row r="38" ht="15" customHeight="1">
      <c r="A38" t="inlineStr">
        <is>
          <t>A 36222-2026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46313</v>
      </c>
      <c r="F38" t="inlineStr">
        <is>
          <t>JÖNKÖPINGS LÄN</t>
        </is>
      </c>
      <c r="G38" t="inlineStr">
        <is>
          <t>VÄRNAMO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Borsttåg</t>
        </is>
      </c>
      <c r="W38">
        <f>HYPERLINK("https://klasma.github.io/Logging_0683/artfynd/A 36222-2026 artfynd.xlsx", "A 36222-2026")</f>
        <v/>
      </c>
      <c r="X38">
        <f>HYPERLINK("https://klasma.github.io/Logging_0683/kartor/A 36222-2026 karta.png", "A 36222-2026")</f>
        <v/>
      </c>
      <c r="Y38">
        <f>HYPERLINK("https://klasma.github.io/Logging_0683/kartor_geotiff/A 36222-2026 georefererad karta.tif", "A 36222-2026")</f>
        <v/>
      </c>
      <c r="AA38">
        <f>HYPERLINK("https://klasma.github.io/Logging_0683/klagomål/A 36222-2026 FSC-klagomål.docx", "A 36222-2026")</f>
        <v/>
      </c>
      <c r="AB38">
        <f>HYPERLINK("https://klasma.github.io/Logging_0683/klagomålsmail/A 36222-2026 FSC-klagomål mail.docx", "A 36222-2026")</f>
        <v/>
      </c>
      <c r="AC38">
        <f>HYPERLINK("https://klasma.github.io/Logging_0683/tillsyn/A 36222-2026 tillsynsbegäran.docx", "A 36222-2026")</f>
        <v/>
      </c>
      <c r="AD38">
        <f>HYPERLINK("https://klasma.github.io/Logging_0683/tillsynsmail/A 36222-2026 tillsynsbegäran mail.docx", "A 36222-2026")</f>
        <v/>
      </c>
    </row>
    <row r="39" ht="15" customHeight="1">
      <c r="A39" t="inlineStr">
        <is>
          <t>A 33366-2025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46313</v>
      </c>
      <c r="F39" t="inlineStr">
        <is>
          <t>JÖNKÖPINGS LÄN</t>
        </is>
      </c>
      <c r="G39" t="inlineStr">
        <is>
          <t>VÄRNAMO</t>
        </is>
      </c>
      <c r="I39" t="n">
        <v>5.7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Strandlummer</t>
        </is>
      </c>
      <c r="W39">
        <f>HYPERLINK("https://klasma.github.io/Logging_0683/artfynd/A 33366-2025 artfynd.xlsx", "A 33366-2025")</f>
        <v/>
      </c>
      <c r="X39">
        <f>HYPERLINK("https://klasma.github.io/Logging_0683/kartor/A 33366-2025 karta.png", "A 33366-2025")</f>
        <v/>
      </c>
      <c r="Y39">
        <f>HYPERLINK("https://klasma.github.io/Logging_0683/kartor_geotiff/A 33366-2025 georefererad karta.tif", "A 33366-2025")</f>
        <v/>
      </c>
      <c r="AA39">
        <f>HYPERLINK("https://klasma.github.io/Logging_0683/klagomål/A 33366-2025 FSC-klagomål.docx", "A 33366-2025")</f>
        <v/>
      </c>
      <c r="AB39">
        <f>HYPERLINK("https://klasma.github.io/Logging_0683/klagomålsmail/A 33366-2025 FSC-klagomål mail.docx", "A 33366-2025")</f>
        <v/>
      </c>
      <c r="AC39">
        <f>HYPERLINK("https://klasma.github.io/Logging_0683/tillsyn/A 33366-2025 tillsynsbegäran.docx", "A 33366-2025")</f>
        <v/>
      </c>
      <c r="AD39">
        <f>HYPERLINK("https://klasma.github.io/Logging_0683/tillsynsmail/A 33366-2025 tillsynsbegäran mail.docx", "A 33366-2025")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46313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46313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46313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46313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46313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46313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46313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46313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46313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46313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46313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46313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46313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46313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46313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46313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46313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46313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46313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46313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46313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46313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46313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46313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46313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46313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46313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46313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46313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46313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46313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46313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46313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46313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46313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46313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46313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46313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46313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46313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46313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46313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46313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46313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46313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46313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46313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46313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46313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46313</v>
      </c>
      <c r="F89" t="inlineStr">
        <is>
          <t>JÖNKÖPINGS LÄN</t>
        </is>
      </c>
      <c r="G89" t="inlineStr">
        <is>
          <t>VÄRNAMO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24702-2022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44727</v>
      </c>
      <c r="E90" s="1" t="n">
        <v>46313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46313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46313</v>
      </c>
      <c r="F92" t="inlineStr">
        <is>
          <t>JÖNKÖPINGS LÄN</t>
        </is>
      </c>
      <c r="G92" t="inlineStr">
        <is>
          <t>VÄRNAMO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46313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43132-2024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45567</v>
      </c>
      <c r="E94" s="1" t="n">
        <v>46313</v>
      </c>
      <c r="F94" t="inlineStr">
        <is>
          <t>JÖNKÖPINGS LÄN</t>
        </is>
      </c>
      <c r="G94" t="inlineStr">
        <is>
          <t>VÄRNAMO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45567</v>
      </c>
      <c r="E95" s="1" t="n">
        <v>46313</v>
      </c>
      <c r="F95" t="inlineStr">
        <is>
          <t>JÖNKÖPINGS LÄN</t>
        </is>
      </c>
      <c r="G95" t="inlineStr">
        <is>
          <t>VÄRNAMO</t>
        </is>
      </c>
      <c r="H95" t="inlineStr">
        <is>
          <t>Kommuner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46313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46313</v>
      </c>
      <c r="F97" t="inlineStr">
        <is>
          <t>JÖNKÖPINGS LÄN</t>
        </is>
      </c>
      <c r="G97" t="inlineStr">
        <is>
          <t>VÄRNAMO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45036</v>
      </c>
      <c r="E98" s="1" t="n">
        <v>46313</v>
      </c>
      <c r="F98" t="inlineStr">
        <is>
          <t>JÖNKÖPINGS LÄN</t>
        </is>
      </c>
      <c r="G98" t="inlineStr">
        <is>
          <t>VÄRNAMO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46313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46313</v>
      </c>
      <c r="F100" t="inlineStr">
        <is>
          <t>JÖNKÖPINGS LÄN</t>
        </is>
      </c>
      <c r="G100" t="inlineStr">
        <is>
          <t>VÄRNAMO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46313</v>
      </c>
      <c r="F101" t="inlineStr">
        <is>
          <t>JÖNKÖPINGS LÄN</t>
        </is>
      </c>
      <c r="G101" t="inlineStr">
        <is>
          <t>VÄRNAMO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44869</v>
      </c>
      <c r="E102" s="1" t="n">
        <v>46313</v>
      </c>
      <c r="F102" t="inlineStr">
        <is>
          <t>JÖNKÖPINGS LÄN</t>
        </is>
      </c>
      <c r="G102" t="inlineStr">
        <is>
          <t>VÄRNAMO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46313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46313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46313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46313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46313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46313</v>
      </c>
      <c r="F108" t="inlineStr">
        <is>
          <t>JÖNKÖPINGS LÄN</t>
        </is>
      </c>
      <c r="G108" t="inlineStr">
        <is>
          <t>VÄRNAMO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45315</v>
      </c>
      <c r="E109" s="1" t="n">
        <v>46313</v>
      </c>
      <c r="F109" t="inlineStr">
        <is>
          <t>JÖNKÖPINGS LÄN</t>
        </is>
      </c>
      <c r="G109" t="inlineStr">
        <is>
          <t>VÄRNAMO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46313</v>
      </c>
      <c r="F110" t="inlineStr">
        <is>
          <t>JÖNKÖPINGS LÄN</t>
        </is>
      </c>
      <c r="G110" t="inlineStr">
        <is>
          <t>VÄRNAMO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46313</v>
      </c>
      <c r="F111" t="inlineStr">
        <is>
          <t>JÖNKÖPINGS LÄN</t>
        </is>
      </c>
      <c r="G111" t="inlineStr">
        <is>
          <t>VÄRNAMO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46313</v>
      </c>
      <c r="F112" t="inlineStr">
        <is>
          <t>JÖNKÖPINGS LÄN</t>
        </is>
      </c>
      <c r="G112" t="inlineStr">
        <is>
          <t>VÄRNAMO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46313</v>
      </c>
      <c r="F113" t="inlineStr">
        <is>
          <t>JÖNKÖPINGS LÄN</t>
        </is>
      </c>
      <c r="G113" t="inlineStr">
        <is>
          <t>VÄRNAMO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46313</v>
      </c>
      <c r="F114" t="inlineStr">
        <is>
          <t>JÖNKÖPINGS LÄN</t>
        </is>
      </c>
      <c r="G114" t="inlineStr">
        <is>
          <t>VÄRNAMO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44943</v>
      </c>
      <c r="E115" s="1" t="n">
        <v>46313</v>
      </c>
      <c r="F115" t="inlineStr">
        <is>
          <t>JÖNKÖPINGS LÄN</t>
        </is>
      </c>
      <c r="G115" t="inlineStr">
        <is>
          <t>VÄRNAMO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46313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46313</v>
      </c>
      <c r="F117" t="inlineStr">
        <is>
          <t>JÖNKÖPINGS LÄN</t>
        </is>
      </c>
      <c r="G117" t="inlineStr">
        <is>
          <t>VÄRNAMO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46313</v>
      </c>
      <c r="F118" t="inlineStr">
        <is>
          <t>JÖNKÖPINGS LÄN</t>
        </is>
      </c>
      <c r="G118" t="inlineStr">
        <is>
          <t>VÄRNAMO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44936</v>
      </c>
      <c r="E119" s="1" t="n">
        <v>46313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46313</v>
      </c>
      <c r="F120" t="inlineStr">
        <is>
          <t>JÖNKÖPINGS LÄN</t>
        </is>
      </c>
      <c r="G120" t="inlineStr">
        <is>
          <t>VÄRNAMO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44887</v>
      </c>
      <c r="E121" s="1" t="n">
        <v>46313</v>
      </c>
      <c r="F121" t="inlineStr">
        <is>
          <t>JÖNKÖPINGS LÄN</t>
        </is>
      </c>
      <c r="G121" t="inlineStr">
        <is>
          <t>VÄRNAMO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46313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46313</v>
      </c>
      <c r="F123" t="inlineStr">
        <is>
          <t>JÖNKÖPINGS LÄN</t>
        </is>
      </c>
      <c r="G123" t="inlineStr">
        <is>
          <t>VÄRNAMO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46313</v>
      </c>
      <c r="F124" t="inlineStr">
        <is>
          <t>JÖNKÖPINGS LÄN</t>
        </is>
      </c>
      <c r="G124" t="inlineStr">
        <is>
          <t>VÄRNAMO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46313</v>
      </c>
      <c r="F125" t="inlineStr">
        <is>
          <t>JÖNKÖPINGS LÄN</t>
        </is>
      </c>
      <c r="G125" t="inlineStr">
        <is>
          <t>VÄRNAMO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29382-2024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45483</v>
      </c>
      <c r="E126" s="1" t="n">
        <v>46313</v>
      </c>
      <c r="F126" t="inlineStr">
        <is>
          <t>JÖNKÖPINGS LÄN</t>
        </is>
      </c>
      <c r="G126" t="inlineStr">
        <is>
          <t>VÄRNAMO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46313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46313</v>
      </c>
      <c r="F128" t="inlineStr">
        <is>
          <t>JÖNKÖPINGS LÄN</t>
        </is>
      </c>
      <c r="G128" t="inlineStr">
        <is>
          <t>VÄRNAMO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46313</v>
      </c>
      <c r="F129" t="inlineStr">
        <is>
          <t>JÖNKÖPINGS LÄN</t>
        </is>
      </c>
      <c r="G129" t="inlineStr">
        <is>
          <t>VÄRNAMO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46313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45200</v>
      </c>
      <c r="E131" s="1" t="n">
        <v>46313</v>
      </c>
      <c r="F131" t="inlineStr">
        <is>
          <t>JÖNKÖPINGS LÄN</t>
        </is>
      </c>
      <c r="G131" t="inlineStr">
        <is>
          <t>VÄRNAMO</t>
        </is>
      </c>
      <c r="H131" t="inlineStr">
        <is>
          <t>Övriga Aktiebolag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46313</v>
      </c>
      <c r="F132" t="inlineStr">
        <is>
          <t>JÖNKÖPINGS LÄN</t>
        </is>
      </c>
      <c r="G132" t="inlineStr">
        <is>
          <t>VÄRNAMO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46313</v>
      </c>
      <c r="F133" t="inlineStr">
        <is>
          <t>JÖNKÖPINGS LÄN</t>
        </is>
      </c>
      <c r="G133" t="inlineStr">
        <is>
          <t>VÄRNAMO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46313</v>
      </c>
      <c r="F134" t="inlineStr">
        <is>
          <t>JÖNKÖPINGS LÄN</t>
        </is>
      </c>
      <c r="G134" t="inlineStr">
        <is>
          <t>VÄRNAMO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46313</v>
      </c>
      <c r="F135" t="inlineStr">
        <is>
          <t>JÖNKÖPINGS LÄN</t>
        </is>
      </c>
      <c r="G135" t="inlineStr">
        <is>
          <t>VÄRNAMO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45208</v>
      </c>
      <c r="E136" s="1" t="n">
        <v>46313</v>
      </c>
      <c r="F136" t="inlineStr">
        <is>
          <t>JÖNKÖPINGS LÄN</t>
        </is>
      </c>
      <c r="G136" t="inlineStr">
        <is>
          <t>VÄRNAMO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46313</v>
      </c>
      <c r="F137" t="inlineStr">
        <is>
          <t>JÖNKÖPINGS LÄN</t>
        </is>
      </c>
      <c r="G137" t="inlineStr">
        <is>
          <t>VÄRNAMO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46313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46313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46313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46313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46313</v>
      </c>
      <c r="F142" t="inlineStr">
        <is>
          <t>JÖNKÖPINGS LÄN</t>
        </is>
      </c>
      <c r="G142" t="inlineStr">
        <is>
          <t>VÄRNAMO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45221</v>
      </c>
      <c r="E143" s="1" t="n">
        <v>46313</v>
      </c>
      <c r="F143" t="inlineStr">
        <is>
          <t>JÖNKÖPINGS LÄN</t>
        </is>
      </c>
      <c r="G143" t="inlineStr">
        <is>
          <t>VÄRNAMO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46313</v>
      </c>
      <c r="F144" t="inlineStr">
        <is>
          <t>JÖNKÖPINGS LÄN</t>
        </is>
      </c>
      <c r="G144" t="inlineStr">
        <is>
          <t>VÄRNAMO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46313</v>
      </c>
      <c r="F145" t="inlineStr">
        <is>
          <t>JÖNKÖPINGS LÄN</t>
        </is>
      </c>
      <c r="G145" t="inlineStr">
        <is>
          <t>VÄRNAMO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46313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46313</v>
      </c>
      <c r="F147" t="inlineStr">
        <is>
          <t>JÖNKÖPINGS LÄN</t>
        </is>
      </c>
      <c r="G147" t="inlineStr">
        <is>
          <t>VÄRNAMO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46313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44642</v>
      </c>
      <c r="E149" s="1" t="n">
        <v>46313</v>
      </c>
      <c r="F149" t="inlineStr">
        <is>
          <t>JÖNKÖPINGS LÄN</t>
        </is>
      </c>
      <c r="G149" t="inlineStr">
        <is>
          <t>VÄRNAMO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46313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44956</v>
      </c>
      <c r="E151" s="1" t="n">
        <v>46313</v>
      </c>
      <c r="F151" t="inlineStr">
        <is>
          <t>JÖNKÖPINGS LÄN</t>
        </is>
      </c>
      <c r="G151" t="inlineStr">
        <is>
          <t>VÄRNAMO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46313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44602</v>
      </c>
      <c r="E153" s="1" t="n">
        <v>46313</v>
      </c>
      <c r="F153" t="inlineStr">
        <is>
          <t>JÖNKÖPINGS LÄN</t>
        </is>
      </c>
      <c r="G153" t="inlineStr">
        <is>
          <t>VÄRNAMO</t>
        </is>
      </c>
      <c r="H153" t="inlineStr">
        <is>
          <t>Kommuner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45587</v>
      </c>
      <c r="E154" s="1" t="n">
        <v>46313</v>
      </c>
      <c r="F154" t="inlineStr">
        <is>
          <t>JÖNKÖPINGS LÄN</t>
        </is>
      </c>
      <c r="G154" t="inlineStr">
        <is>
          <t>VÄRNAMO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47603-2024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46313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44577</v>
      </c>
      <c r="E156" s="1" t="n">
        <v>46313</v>
      </c>
      <c r="F156" t="inlineStr">
        <is>
          <t>JÖNKÖPINGS LÄN</t>
        </is>
      </c>
      <c r="G156" t="inlineStr">
        <is>
          <t>VÄRNAMO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46313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46313</v>
      </c>
      <c r="F158" t="inlineStr">
        <is>
          <t>JÖNKÖPINGS LÄN</t>
        </is>
      </c>
      <c r="G158" t="inlineStr">
        <is>
          <t>VÄRNAMO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46313</v>
      </c>
      <c r="F159" t="inlineStr">
        <is>
          <t>JÖNKÖPINGS LÄN</t>
        </is>
      </c>
      <c r="G159" t="inlineStr">
        <is>
          <t>VÄRNAMO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24703-2022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44727</v>
      </c>
      <c r="E160" s="1" t="n">
        <v>46313</v>
      </c>
      <c r="F160" t="inlineStr">
        <is>
          <t>JÖNKÖPINGS LÄN</t>
        </is>
      </c>
      <c r="G160" t="inlineStr">
        <is>
          <t>VÄRNAMO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45069</v>
      </c>
      <c r="E161" s="1" t="n">
        <v>46313</v>
      </c>
      <c r="F161" t="inlineStr">
        <is>
          <t>JÖNKÖPINGS LÄN</t>
        </is>
      </c>
      <c r="G161" t="inlineStr">
        <is>
          <t>VÄRNAMO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45590</v>
      </c>
      <c r="E162" s="1" t="n">
        <v>46313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45267</v>
      </c>
      <c r="E163" s="1" t="n">
        <v>46313</v>
      </c>
      <c r="F163" t="inlineStr">
        <is>
          <t>JÖNKÖPINGS LÄN</t>
        </is>
      </c>
      <c r="G163" t="inlineStr">
        <is>
          <t>VÄRNAMO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46313</v>
      </c>
      <c r="F164" t="inlineStr">
        <is>
          <t>JÖNKÖPINGS LÄN</t>
        </is>
      </c>
      <c r="G164" t="inlineStr">
        <is>
          <t>VÄRNAMO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46313</v>
      </c>
      <c r="F165" t="inlineStr">
        <is>
          <t>JÖNKÖPINGS LÄN</t>
        </is>
      </c>
      <c r="G165" t="inlineStr">
        <is>
          <t>VÄRNAMO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46313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46313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45562</v>
      </c>
      <c r="E168" s="1" t="n">
        <v>46313</v>
      </c>
      <c r="F168" t="inlineStr">
        <is>
          <t>JÖNKÖPINGS LÄN</t>
        </is>
      </c>
      <c r="G168" t="inlineStr">
        <is>
          <t>VÄRNAMO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45519</v>
      </c>
      <c r="E169" s="1" t="n">
        <v>46313</v>
      </c>
      <c r="F169" t="inlineStr">
        <is>
          <t>JÖNKÖPINGS LÄN</t>
        </is>
      </c>
      <c r="G169" t="inlineStr">
        <is>
          <t>VÄRNAMO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46313</v>
      </c>
      <c r="F170" t="inlineStr">
        <is>
          <t>JÖNKÖPINGS LÄN</t>
        </is>
      </c>
      <c r="G170" t="inlineStr">
        <is>
          <t>VÄRNAMO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46313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45328</v>
      </c>
      <c r="E172" s="1" t="n">
        <v>46313</v>
      </c>
      <c r="F172" t="inlineStr">
        <is>
          <t>JÖNKÖPINGS LÄN</t>
        </is>
      </c>
      <c r="G172" t="inlineStr">
        <is>
          <t>VÄRNAMO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46313</v>
      </c>
      <c r="F173" t="inlineStr">
        <is>
          <t>JÖNKÖPINGS LÄN</t>
        </is>
      </c>
      <c r="G173" t="inlineStr">
        <is>
          <t>VÄRNAMO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45957</v>
      </c>
      <c r="E174" s="1" t="n">
        <v>46313</v>
      </c>
      <c r="F174" t="inlineStr">
        <is>
          <t>JÖNKÖPINGS LÄN</t>
        </is>
      </c>
      <c r="G174" t="inlineStr">
        <is>
          <t>VÄRNAMO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45758</v>
      </c>
      <c r="E175" s="1" t="n">
        <v>46313</v>
      </c>
      <c r="F175" t="inlineStr">
        <is>
          <t>JÖNKÖPINGS LÄN</t>
        </is>
      </c>
      <c r="G175" t="inlineStr">
        <is>
          <t>VÄRNAMO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46313</v>
      </c>
      <c r="F176" t="inlineStr">
        <is>
          <t>JÖNKÖPINGS LÄN</t>
        </is>
      </c>
      <c r="G176" t="inlineStr">
        <is>
          <t>VÄRNAMO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46313</v>
      </c>
      <c r="F177" t="inlineStr">
        <is>
          <t>JÖNKÖPINGS LÄN</t>
        </is>
      </c>
      <c r="G177" t="inlineStr">
        <is>
          <t>VÄRNAMO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45324</v>
      </c>
      <c r="E178" s="1" t="n">
        <v>46313</v>
      </c>
      <c r="F178" t="inlineStr">
        <is>
          <t>JÖNKÖPINGS LÄN</t>
        </is>
      </c>
      <c r="G178" t="inlineStr">
        <is>
          <t>VÄRNAMO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46313</v>
      </c>
      <c r="F179" t="inlineStr">
        <is>
          <t>JÖNKÖPINGS LÄN</t>
        </is>
      </c>
      <c r="G179" t="inlineStr">
        <is>
          <t>VÄRNAMO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45576</v>
      </c>
      <c r="E180" s="1" t="n">
        <v>46313</v>
      </c>
      <c r="F180" t="inlineStr">
        <is>
          <t>JÖNKÖPINGS LÄN</t>
        </is>
      </c>
      <c r="G180" t="inlineStr">
        <is>
          <t>VÄRNAMO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46313</v>
      </c>
      <c r="F181" t="inlineStr">
        <is>
          <t>JÖNKÖPINGS LÄN</t>
        </is>
      </c>
      <c r="G181" t="inlineStr">
        <is>
          <t>VÄRNAMO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46313</v>
      </c>
      <c r="F182" t="inlineStr">
        <is>
          <t>JÖNKÖPINGS LÄN</t>
        </is>
      </c>
      <c r="G182" t="inlineStr">
        <is>
          <t>VÄRNAMO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45670</v>
      </c>
      <c r="E183" s="1" t="n">
        <v>46313</v>
      </c>
      <c r="F183" t="inlineStr">
        <is>
          <t>JÖNKÖPINGS LÄN</t>
        </is>
      </c>
      <c r="G183" t="inlineStr">
        <is>
          <t>VÄRNAMO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46313</v>
      </c>
      <c r="F184" t="inlineStr">
        <is>
          <t>JÖNKÖPINGS LÄN</t>
        </is>
      </c>
      <c r="G184" t="inlineStr">
        <is>
          <t>VÄRNAMO</t>
        </is>
      </c>
      <c r="H184" t="inlineStr">
        <is>
          <t>Sveaskog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61351-2023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45264</v>
      </c>
      <c r="E185" s="1" t="n">
        <v>46313</v>
      </c>
      <c r="F185" t="inlineStr">
        <is>
          <t>JÖNKÖPINGS LÄN</t>
        </is>
      </c>
      <c r="G185" t="inlineStr">
        <is>
          <t>VÄRNAMO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46313</v>
      </c>
      <c r="F186" t="inlineStr">
        <is>
          <t>JÖNKÖPINGS LÄN</t>
        </is>
      </c>
      <c r="G186" t="inlineStr">
        <is>
          <t>VÄRNAMO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46313</v>
      </c>
      <c r="F187" t="inlineStr">
        <is>
          <t>JÖNKÖPINGS LÄN</t>
        </is>
      </c>
      <c r="G187" t="inlineStr">
        <is>
          <t>VÄRNAMO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46313</v>
      </c>
      <c r="F188" t="inlineStr">
        <is>
          <t>JÖNKÖPINGS LÄN</t>
        </is>
      </c>
      <c r="G188" t="inlineStr">
        <is>
          <t>VÄRNAMO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45853</v>
      </c>
      <c r="E189" s="1" t="n">
        <v>46313</v>
      </c>
      <c r="F189" t="inlineStr">
        <is>
          <t>JÖNKÖPINGS LÄN</t>
        </is>
      </c>
      <c r="G189" t="inlineStr">
        <is>
          <t>VÄRNAMO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46313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46313</v>
      </c>
      <c r="F191" t="inlineStr">
        <is>
          <t>JÖNKÖPINGS LÄN</t>
        </is>
      </c>
      <c r="G191" t="inlineStr">
        <is>
          <t>VÄRNAMO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45785</v>
      </c>
      <c r="E192" s="1" t="n">
        <v>46313</v>
      </c>
      <c r="F192" t="inlineStr">
        <is>
          <t>JÖNKÖPINGS LÄN</t>
        </is>
      </c>
      <c r="G192" t="inlineStr">
        <is>
          <t>VÄRNAMO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46313</v>
      </c>
      <c r="F193" t="inlineStr">
        <is>
          <t>JÖNKÖPINGS LÄN</t>
        </is>
      </c>
      <c r="G193" t="inlineStr">
        <is>
          <t>VÄRNAMO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46313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46313</v>
      </c>
      <c r="F195" t="inlineStr">
        <is>
          <t>JÖNKÖPINGS LÄN</t>
        </is>
      </c>
      <c r="G195" t="inlineStr">
        <is>
          <t>VÄRNAMO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46313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47987-2022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46313</v>
      </c>
      <c r="F197" t="inlineStr">
        <is>
          <t>JÖNKÖPINGS LÄN</t>
        </is>
      </c>
      <c r="G197" t="inlineStr">
        <is>
          <t>VÄRNAMO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46313</v>
      </c>
      <c r="F198" t="inlineStr">
        <is>
          <t>JÖNKÖPINGS LÄN</t>
        </is>
      </c>
      <c r="G198" t="inlineStr">
        <is>
          <t>VÄRNAMO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46313</v>
      </c>
      <c r="F199" t="inlineStr">
        <is>
          <t>JÖNKÖPINGS LÄN</t>
        </is>
      </c>
      <c r="G199" t="inlineStr">
        <is>
          <t>VÄRNAMO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46313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33315-2025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45841</v>
      </c>
      <c r="E201" s="1" t="n">
        <v>46313</v>
      </c>
      <c r="F201" t="inlineStr">
        <is>
          <t>JÖNKÖPINGS LÄN</t>
        </is>
      </c>
      <c r="G201" t="inlineStr">
        <is>
          <t>VÄRNAMO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46313</v>
      </c>
      <c r="F202" t="inlineStr">
        <is>
          <t>JÖNKÖPINGS LÄN</t>
        </is>
      </c>
      <c r="G202" t="inlineStr">
        <is>
          <t>VÄRNAMO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46313</v>
      </c>
      <c r="F203" t="inlineStr">
        <is>
          <t>JÖNKÖPINGS LÄN</t>
        </is>
      </c>
      <c r="G203" t="inlineStr">
        <is>
          <t>VÄRNAMO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46313</v>
      </c>
      <c r="F204" t="inlineStr">
        <is>
          <t>JÖNKÖPINGS LÄN</t>
        </is>
      </c>
      <c r="G204" t="inlineStr">
        <is>
          <t>VÄRNAMO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46313</v>
      </c>
      <c r="F205" t="inlineStr">
        <is>
          <t>JÖNKÖPINGS LÄN</t>
        </is>
      </c>
      <c r="G205" t="inlineStr">
        <is>
          <t>VÄRNAMO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46313</v>
      </c>
      <c r="F206" t="inlineStr">
        <is>
          <t>JÖNKÖPINGS LÄN</t>
        </is>
      </c>
      <c r="G206" t="inlineStr">
        <is>
          <t>VÄRNAMO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46313</v>
      </c>
      <c r="F207" t="inlineStr">
        <is>
          <t>JÖNKÖPINGS LÄN</t>
        </is>
      </c>
      <c r="G207" t="inlineStr">
        <is>
          <t>VÄRNAMO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46313</v>
      </c>
      <c r="F208" t="inlineStr">
        <is>
          <t>JÖNKÖPINGS LÄN</t>
        </is>
      </c>
      <c r="G208" t="inlineStr">
        <is>
          <t>VÄRNAMO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46313</v>
      </c>
      <c r="F209" t="inlineStr">
        <is>
          <t>JÖNKÖPINGS LÄN</t>
        </is>
      </c>
      <c r="G209" t="inlineStr">
        <is>
          <t>VÄRNAMO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46313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45509</v>
      </c>
      <c r="E211" s="1" t="n">
        <v>46313</v>
      </c>
      <c r="F211" t="inlineStr">
        <is>
          <t>JÖNKÖPINGS LÄN</t>
        </is>
      </c>
      <c r="G211" t="inlineStr">
        <is>
          <t>VÄRNAMO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44984</v>
      </c>
      <c r="E212" s="1" t="n">
        <v>46313</v>
      </c>
      <c r="F212" t="inlineStr">
        <is>
          <t>JÖNKÖPINGS LÄN</t>
        </is>
      </c>
      <c r="G212" t="inlineStr">
        <is>
          <t>VÄRNAMO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46313</v>
      </c>
      <c r="F213" t="inlineStr">
        <is>
          <t>JÖNKÖPINGS LÄN</t>
        </is>
      </c>
      <c r="G213" t="inlineStr">
        <is>
          <t>VÄRNAMO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46313</v>
      </c>
      <c r="F214" t="inlineStr">
        <is>
          <t>JÖNKÖPINGS LÄN</t>
        </is>
      </c>
      <c r="G214" t="inlineStr">
        <is>
          <t>VÄRNAMO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46313</v>
      </c>
      <c r="F215" t="inlineStr">
        <is>
          <t>JÖNKÖPINGS LÄN</t>
        </is>
      </c>
      <c r="G215" t="inlineStr">
        <is>
          <t>VÄRNAMO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41460-2023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46313</v>
      </c>
      <c r="F216" t="inlineStr">
        <is>
          <t>JÖNKÖPINGS LÄN</t>
        </is>
      </c>
      <c r="G216" t="inlineStr">
        <is>
          <t>VÄRNAMO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46313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46313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40486-2022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44823</v>
      </c>
      <c r="E219" s="1" t="n">
        <v>46313</v>
      </c>
      <c r="F219" t="inlineStr">
        <is>
          <t>JÖNKÖPINGS LÄN</t>
        </is>
      </c>
      <c r="G219" t="inlineStr">
        <is>
          <t>VÄRNAMO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46313</v>
      </c>
      <c r="F220" t="inlineStr">
        <is>
          <t>JÖNKÖPINGS LÄN</t>
        </is>
      </c>
      <c r="G220" t="inlineStr">
        <is>
          <t>VÄRNAMO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46313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46313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46313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45124</v>
      </c>
      <c r="E224" s="1" t="n">
        <v>46313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46313</v>
      </c>
      <c r="F225" t="inlineStr">
        <is>
          <t>JÖNKÖPINGS LÄN</t>
        </is>
      </c>
      <c r="G225" t="inlineStr">
        <is>
          <t>VÄRNAMO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46313</v>
      </c>
      <c r="F226" t="inlineStr">
        <is>
          <t>JÖNKÖPINGS LÄN</t>
        </is>
      </c>
      <c r="G226" t="inlineStr">
        <is>
          <t>VÄRNAMO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44966</v>
      </c>
      <c r="E227" s="1" t="n">
        <v>46313</v>
      </c>
      <c r="F227" t="inlineStr">
        <is>
          <t>JÖNKÖPINGS LÄN</t>
        </is>
      </c>
      <c r="G227" t="inlineStr">
        <is>
          <t>VÄRNAMO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45274</v>
      </c>
      <c r="E228" s="1" t="n">
        <v>46313</v>
      </c>
      <c r="F228" t="inlineStr">
        <is>
          <t>JÖNKÖPINGS LÄN</t>
        </is>
      </c>
      <c r="G228" t="inlineStr">
        <is>
          <t>VÄRNAMO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46313</v>
      </c>
      <c r="F229" t="inlineStr">
        <is>
          <t>JÖNKÖPINGS LÄN</t>
        </is>
      </c>
      <c r="G229" t="inlineStr">
        <is>
          <t>VÄRNAMO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45229</v>
      </c>
      <c r="E230" s="1" t="n">
        <v>46313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46313</v>
      </c>
      <c r="F231" t="inlineStr">
        <is>
          <t>JÖNKÖPINGS LÄN</t>
        </is>
      </c>
      <c r="G231" t="inlineStr">
        <is>
          <t>VÄRNAMO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44931</v>
      </c>
      <c r="E232" s="1" t="n">
        <v>46313</v>
      </c>
      <c r="F232" t="inlineStr">
        <is>
          <t>JÖNKÖPINGS LÄN</t>
        </is>
      </c>
      <c r="G232" t="inlineStr">
        <is>
          <t>VÄRNAMO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46313</v>
      </c>
      <c r="F233" t="inlineStr">
        <is>
          <t>JÖNKÖPINGS LÄN</t>
        </is>
      </c>
      <c r="G233" t="inlineStr">
        <is>
          <t>VÄRNAMO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46313</v>
      </c>
      <c r="F234" t="inlineStr">
        <is>
          <t>JÖNKÖPINGS LÄN</t>
        </is>
      </c>
      <c r="G234" t="inlineStr">
        <is>
          <t>VÄRNAMO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46313</v>
      </c>
      <c r="F235" t="inlineStr">
        <is>
          <t>JÖNKÖPINGS LÄN</t>
        </is>
      </c>
      <c r="G235" t="inlineStr">
        <is>
          <t>VÄRNAMO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45239</v>
      </c>
      <c r="E236" s="1" t="n">
        <v>46313</v>
      </c>
      <c r="F236" t="inlineStr">
        <is>
          <t>JÖNKÖPINGS LÄN</t>
        </is>
      </c>
      <c r="G236" t="inlineStr">
        <is>
          <t>VÄRNAMO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46313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53473-2025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46313</v>
      </c>
      <c r="F238" t="inlineStr">
        <is>
          <t>JÖNKÖPINGS LÄN</t>
        </is>
      </c>
      <c r="G238" t="inlineStr">
        <is>
          <t>VÄRNAMO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46313</v>
      </c>
      <c r="F239" t="inlineStr">
        <is>
          <t>JÖNKÖPINGS LÄN</t>
        </is>
      </c>
      <c r="G239" t="inlineStr">
        <is>
          <t>VÄRNAMO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46313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9935-2025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45718</v>
      </c>
      <c r="E241" s="1" t="n">
        <v>46313</v>
      </c>
      <c r="F241" t="inlineStr">
        <is>
          <t>JÖNKÖPINGS LÄN</t>
        </is>
      </c>
      <c r="G241" t="inlineStr">
        <is>
          <t>VÄRNAMO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46313</v>
      </c>
      <c r="F242" t="inlineStr">
        <is>
          <t>JÖNKÖPINGS LÄN</t>
        </is>
      </c>
      <c r="G242" t="inlineStr">
        <is>
          <t>VÄRNAMO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46313</v>
      </c>
      <c r="F243" t="inlineStr">
        <is>
          <t>JÖNKÖPINGS LÄN</t>
        </is>
      </c>
      <c r="G243" t="inlineStr">
        <is>
          <t>VÄRNAMO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46313</v>
      </c>
      <c r="F244" t="inlineStr">
        <is>
          <t>JÖNKÖPINGS LÄN</t>
        </is>
      </c>
      <c r="G244" t="inlineStr">
        <is>
          <t>VÄRNAMO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46313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54477-2022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44882</v>
      </c>
      <c r="E246" s="1" t="n">
        <v>46313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46313</v>
      </c>
      <c r="F247" t="inlineStr">
        <is>
          <t>JÖNKÖPINGS LÄN</t>
        </is>
      </c>
      <c r="G247" t="inlineStr">
        <is>
          <t>VÄRNAMO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45112</v>
      </c>
      <c r="E248" s="1" t="n">
        <v>46313</v>
      </c>
      <c r="F248" t="inlineStr">
        <is>
          <t>JÖNKÖPINGS LÄN</t>
        </is>
      </c>
      <c r="G248" t="inlineStr">
        <is>
          <t>VÄRNAMO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46313</v>
      </c>
      <c r="F249" t="inlineStr">
        <is>
          <t>JÖNKÖPINGS LÄN</t>
        </is>
      </c>
      <c r="G249" t="inlineStr">
        <is>
          <t>VÄRNAMO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46313</v>
      </c>
      <c r="F250" t="inlineStr">
        <is>
          <t>JÖNKÖPINGS LÄN</t>
        </is>
      </c>
      <c r="G250" t="inlineStr">
        <is>
          <t>VÄRNAMO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54703-2025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46313</v>
      </c>
      <c r="F251" t="inlineStr">
        <is>
          <t>JÖNKÖPINGS LÄN</t>
        </is>
      </c>
      <c r="G251" t="inlineStr">
        <is>
          <t>VÄRNAMO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46313</v>
      </c>
      <c r="F252" t="inlineStr">
        <is>
          <t>JÖNKÖPINGS LÄN</t>
        </is>
      </c>
      <c r="G252" t="inlineStr">
        <is>
          <t>VÄRNAMO</t>
        </is>
      </c>
      <c r="H252" t="inlineStr">
        <is>
          <t>Sveaskog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46313</v>
      </c>
      <c r="F253" t="inlineStr">
        <is>
          <t>JÖNKÖPINGS LÄN</t>
        </is>
      </c>
      <c r="G253" t="inlineStr">
        <is>
          <t>VÄRNAMO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46313</v>
      </c>
      <c r="F254" t="inlineStr">
        <is>
          <t>JÖNKÖPINGS LÄN</t>
        </is>
      </c>
      <c r="G254" t="inlineStr">
        <is>
          <t>VÄRNAMO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46313</v>
      </c>
      <c r="F255" t="inlineStr">
        <is>
          <t>JÖNKÖPINGS LÄN</t>
        </is>
      </c>
      <c r="G255" t="inlineStr">
        <is>
          <t>VÄRNAMO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46313</v>
      </c>
      <c r="F256" t="inlineStr">
        <is>
          <t>JÖNKÖPINGS LÄN</t>
        </is>
      </c>
      <c r="G256" t="inlineStr">
        <is>
          <t>VÄRNAMO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46313</v>
      </c>
      <c r="F257" t="inlineStr">
        <is>
          <t>JÖNKÖPINGS LÄN</t>
        </is>
      </c>
      <c r="G257" t="inlineStr">
        <is>
          <t>VÄRNAMO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46313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46313</v>
      </c>
      <c r="F259" t="inlineStr">
        <is>
          <t>JÖNKÖPINGS LÄN</t>
        </is>
      </c>
      <c r="G259" t="inlineStr">
        <is>
          <t>VÄRNAMO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46313</v>
      </c>
      <c r="F260" t="inlineStr">
        <is>
          <t>JÖNKÖPINGS LÄN</t>
        </is>
      </c>
      <c r="G260" t="inlineStr">
        <is>
          <t>VÄRNAMO</t>
        </is>
      </c>
      <c r="H260" t="inlineStr">
        <is>
          <t>Kommuner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46313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46313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46313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45221</v>
      </c>
      <c r="E264" s="1" t="n">
        <v>46313</v>
      </c>
      <c r="F264" t="inlineStr">
        <is>
          <t>JÖNKÖPINGS LÄN</t>
        </is>
      </c>
      <c r="G264" t="inlineStr">
        <is>
          <t>VÄRNAMO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46313</v>
      </c>
      <c r="F265" t="inlineStr">
        <is>
          <t>JÖNKÖPINGS LÄN</t>
        </is>
      </c>
      <c r="G265" t="inlineStr">
        <is>
          <t>VÄRNAMO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45642</v>
      </c>
      <c r="E266" s="1" t="n">
        <v>46313</v>
      </c>
      <c r="F266" t="inlineStr">
        <is>
          <t>JÖNKÖPINGS LÄN</t>
        </is>
      </c>
      <c r="G266" t="inlineStr">
        <is>
          <t>VÄRNAMO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46313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56409-2025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46313</v>
      </c>
      <c r="F268" t="inlineStr">
        <is>
          <t>JÖNKÖPINGS LÄN</t>
        </is>
      </c>
      <c r="G268" t="inlineStr">
        <is>
          <t>VÄRNAMO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46313</v>
      </c>
      <c r="F269" t="inlineStr">
        <is>
          <t>JÖNKÖPINGS LÄN</t>
        </is>
      </c>
      <c r="G269" t="inlineStr">
        <is>
          <t>VÄRNAMO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46313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45369</v>
      </c>
      <c r="E271" s="1" t="n">
        <v>46313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44998</v>
      </c>
      <c r="E272" s="1" t="n">
        <v>46313</v>
      </c>
      <c r="F272" t="inlineStr">
        <is>
          <t>JÖNKÖPINGS LÄN</t>
        </is>
      </c>
      <c r="G272" t="inlineStr">
        <is>
          <t>VÄRNAMO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46313</v>
      </c>
      <c r="F273" t="inlineStr">
        <is>
          <t>JÖNKÖPINGS LÄN</t>
        </is>
      </c>
      <c r="G273" t="inlineStr">
        <is>
          <t>VÄRNAMO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46313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46313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46313</v>
      </c>
      <c r="F276" t="inlineStr">
        <is>
          <t>JÖNKÖPINGS LÄN</t>
        </is>
      </c>
      <c r="G276" t="inlineStr">
        <is>
          <t>VÄRNAMO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46313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46313</v>
      </c>
      <c r="F278" t="inlineStr">
        <is>
          <t>JÖNKÖPINGS LÄN</t>
        </is>
      </c>
      <c r="G278" t="inlineStr">
        <is>
          <t>VÄRNAMO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23951-2026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46313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46313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46313</v>
      </c>
      <c r="F281" t="inlineStr">
        <is>
          <t>JÖNKÖPINGS LÄN</t>
        </is>
      </c>
      <c r="G281" t="inlineStr">
        <is>
          <t>VÄRNAMO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8968-2024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45357</v>
      </c>
      <c r="E282" s="1" t="n">
        <v>46313</v>
      </c>
      <c r="F282" t="inlineStr">
        <is>
          <t>JÖNKÖPINGS LÄN</t>
        </is>
      </c>
      <c r="G282" t="inlineStr">
        <is>
          <t>VÄRNAMO</t>
        </is>
      </c>
      <c r="H282" t="inlineStr">
        <is>
          <t>Sveaskog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12892-2022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44642</v>
      </c>
      <c r="E283" s="1" t="n">
        <v>46313</v>
      </c>
      <c r="F283" t="inlineStr">
        <is>
          <t>JÖNKÖPINGS LÄN</t>
        </is>
      </c>
      <c r="G283" t="inlineStr">
        <is>
          <t>VÄRNAMO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46313</v>
      </c>
      <c r="F284" t="inlineStr">
        <is>
          <t>JÖNKÖPINGS LÄN</t>
        </is>
      </c>
      <c r="G284" t="inlineStr">
        <is>
          <t>VÄRNAMO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46313</v>
      </c>
      <c r="F285" t="inlineStr">
        <is>
          <t>JÖNKÖPINGS LÄN</t>
        </is>
      </c>
      <c r="G285" t="inlineStr">
        <is>
          <t>VÄRNAMO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46313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46313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46313</v>
      </c>
      <c r="F288" t="inlineStr">
        <is>
          <t>JÖNKÖPINGS LÄN</t>
        </is>
      </c>
      <c r="G288" t="inlineStr">
        <is>
          <t>VÄRNAMO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46313</v>
      </c>
      <c r="F289" t="inlineStr">
        <is>
          <t>JÖNKÖPINGS LÄN</t>
        </is>
      </c>
      <c r="G289" t="inlineStr">
        <is>
          <t>VÄRNAMO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46313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46313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45496</v>
      </c>
      <c r="E292" s="1" t="n">
        <v>46313</v>
      </c>
      <c r="F292" t="inlineStr">
        <is>
          <t>JÖNKÖPINGS LÄN</t>
        </is>
      </c>
      <c r="G292" t="inlineStr">
        <is>
          <t>VÄRNAMO</t>
        </is>
      </c>
      <c r="H292" t="inlineStr">
        <is>
          <t>Kommuner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46313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46313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44985</v>
      </c>
      <c r="E295" s="1" t="n">
        <v>46313</v>
      </c>
      <c r="F295" t="inlineStr">
        <is>
          <t>JÖNKÖPINGS LÄN</t>
        </is>
      </c>
      <c r="G295" t="inlineStr">
        <is>
          <t>VÄRNAMO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45021</v>
      </c>
      <c r="E296" s="1" t="n">
        <v>46313</v>
      </c>
      <c r="F296" t="inlineStr">
        <is>
          <t>JÖNKÖPINGS LÄN</t>
        </is>
      </c>
      <c r="G296" t="inlineStr">
        <is>
          <t>VÄRNAMO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46313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46313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46313</v>
      </c>
      <c r="F299" t="inlineStr">
        <is>
          <t>JÖNKÖPINGS LÄN</t>
        </is>
      </c>
      <c r="G299" t="inlineStr">
        <is>
          <t>VÄRNAMO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15536-2024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45401</v>
      </c>
      <c r="E300" s="1" t="n">
        <v>46313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74102-2021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46313</v>
      </c>
      <c r="F301" t="inlineStr">
        <is>
          <t>JÖNKÖPINGS LÄN</t>
        </is>
      </c>
      <c r="G301" t="inlineStr">
        <is>
          <t>VÄRNAMO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63915-2023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45278</v>
      </c>
      <c r="E302" s="1" t="n">
        <v>46313</v>
      </c>
      <c r="F302" t="inlineStr">
        <is>
          <t>JÖNKÖPINGS LÄN</t>
        </is>
      </c>
      <c r="G302" t="inlineStr">
        <is>
          <t>VÄRNAMO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62178-2025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46313</v>
      </c>
      <c r="F303" t="inlineStr">
        <is>
          <t>JÖNKÖPINGS LÄN</t>
        </is>
      </c>
      <c r="G303" t="inlineStr">
        <is>
          <t>VÄRNAMO</t>
        </is>
      </c>
      <c r="I303" t="n">
        <v>10.3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45029</v>
      </c>
      <c r="E304" s="1" t="n">
        <v>46313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71233-2021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46313</v>
      </c>
      <c r="F305" t="inlineStr">
        <is>
          <t>JÖNKÖPINGS LÄN</t>
        </is>
      </c>
      <c r="G305" t="inlineStr">
        <is>
          <t>VÄRNAMO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46313</v>
      </c>
      <c r="F306" t="inlineStr">
        <is>
          <t>JÖNKÖPINGS LÄN</t>
        </is>
      </c>
      <c r="G306" t="inlineStr">
        <is>
          <t>VÄRNAMO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37899-2023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45160</v>
      </c>
      <c r="E307" s="1" t="n">
        <v>46313</v>
      </c>
      <c r="F307" t="inlineStr">
        <is>
          <t>JÖNKÖPINGS LÄN</t>
        </is>
      </c>
      <c r="G307" t="inlineStr">
        <is>
          <t>VÄRNAMO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46313</v>
      </c>
      <c r="F308" t="inlineStr">
        <is>
          <t>JÖNKÖPINGS LÄN</t>
        </is>
      </c>
      <c r="G308" t="inlineStr">
        <is>
          <t>VÄRNAMO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46313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46313</v>
      </c>
      <c r="F310" t="inlineStr">
        <is>
          <t>JÖNKÖPINGS LÄN</t>
        </is>
      </c>
      <c r="G310" t="inlineStr">
        <is>
          <t>VÄRNAMO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45308</v>
      </c>
      <c r="E311" s="1" t="n">
        <v>46313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46172</v>
      </c>
      <c r="E312" s="1" t="n">
        <v>46313</v>
      </c>
      <c r="F312" t="inlineStr">
        <is>
          <t>JÖNKÖPINGS LÄN</t>
        </is>
      </c>
      <c r="G312" t="inlineStr">
        <is>
          <t>VÄRNAMO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46313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50550-2025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46313</v>
      </c>
      <c r="F314" t="inlineStr">
        <is>
          <t>JÖNKÖPINGS LÄN</t>
        </is>
      </c>
      <c r="G314" t="inlineStr">
        <is>
          <t>VÄRNAMO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45558</v>
      </c>
      <c r="E315" s="1" t="n">
        <v>46313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45622</v>
      </c>
      <c r="E316" s="1" t="n">
        <v>46313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46313</v>
      </c>
      <c r="F317" t="inlineStr">
        <is>
          <t>JÖNKÖPINGS LÄN</t>
        </is>
      </c>
      <c r="G317" t="inlineStr">
        <is>
          <t>VÄRNAMO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45734</v>
      </c>
      <c r="E318" s="1" t="n">
        <v>46313</v>
      </c>
      <c r="F318" t="inlineStr">
        <is>
          <t>JÖNKÖPINGS LÄN</t>
        </is>
      </c>
      <c r="G318" t="inlineStr">
        <is>
          <t>VÄRNAMO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46863-2023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45200</v>
      </c>
      <c r="E319" s="1" t="n">
        <v>46313</v>
      </c>
      <c r="F319" t="inlineStr">
        <is>
          <t>JÖNKÖPINGS LÄN</t>
        </is>
      </c>
      <c r="G319" t="inlineStr">
        <is>
          <t>VÄRNAMO</t>
        </is>
      </c>
      <c r="H319" t="inlineStr">
        <is>
          <t>Övriga Aktiebolag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46029</v>
      </c>
      <c r="E320" s="1" t="n">
        <v>46313</v>
      </c>
      <c r="F320" t="inlineStr">
        <is>
          <t>JÖNKÖPINGS LÄN</t>
        </is>
      </c>
      <c r="G320" t="inlineStr">
        <is>
          <t>VÄRNAMO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45106</v>
      </c>
      <c r="E321" s="1" t="n">
        <v>46313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46313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46313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45414</v>
      </c>
      <c r="E324" s="1" t="n">
        <v>46313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46313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46313</v>
      </c>
      <c r="F326" t="inlineStr">
        <is>
          <t>JÖNKÖPINGS LÄN</t>
        </is>
      </c>
      <c r="G326" t="inlineStr">
        <is>
          <t>VÄRNAMO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45274</v>
      </c>
      <c r="E327" s="1" t="n">
        <v>46313</v>
      </c>
      <c r="F327" t="inlineStr">
        <is>
          <t>JÖNKÖPINGS LÄN</t>
        </is>
      </c>
      <c r="G327" t="inlineStr">
        <is>
          <t>VÄRNAMO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46313</v>
      </c>
      <c r="F328" t="inlineStr">
        <is>
          <t>JÖNKÖPINGS LÄN</t>
        </is>
      </c>
      <c r="G328" t="inlineStr">
        <is>
          <t>VÄRNAMO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46313</v>
      </c>
      <c r="F329" t="inlineStr">
        <is>
          <t>JÖNKÖPINGS LÄN</t>
        </is>
      </c>
      <c r="G329" t="inlineStr">
        <is>
          <t>VÄRNAMO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46313</v>
      </c>
      <c r="F330" t="inlineStr">
        <is>
          <t>JÖNKÖPINGS LÄN</t>
        </is>
      </c>
      <c r="G330" t="inlineStr">
        <is>
          <t>VÄRNAMO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46313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46313</v>
      </c>
      <c r="F332" t="inlineStr">
        <is>
          <t>JÖNKÖPINGS LÄN</t>
        </is>
      </c>
      <c r="G332" t="inlineStr">
        <is>
          <t>VÄRNAMO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46313</v>
      </c>
      <c r="F333" t="inlineStr">
        <is>
          <t>JÖNKÖPINGS LÄN</t>
        </is>
      </c>
      <c r="G333" t="inlineStr">
        <is>
          <t>VÄRNAMO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46313</v>
      </c>
      <c r="F334" t="inlineStr">
        <is>
          <t>JÖNKÖPINGS LÄN</t>
        </is>
      </c>
      <c r="G334" t="inlineStr">
        <is>
          <t>VÄRNAMO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44797</v>
      </c>
      <c r="E335" s="1" t="n">
        <v>46313</v>
      </c>
      <c r="F335" t="inlineStr">
        <is>
          <t>JÖNKÖPINGS LÄN</t>
        </is>
      </c>
      <c r="G335" t="inlineStr">
        <is>
          <t>VÄRNAMO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1246-2024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45302</v>
      </c>
      <c r="E336" s="1" t="n">
        <v>46313</v>
      </c>
      <c r="F336" t="inlineStr">
        <is>
          <t>JÖNKÖPINGS LÄN</t>
        </is>
      </c>
      <c r="G336" t="inlineStr">
        <is>
          <t>VÄRNAMO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46313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46313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46313</v>
      </c>
      <c r="F339" t="inlineStr">
        <is>
          <t>JÖNKÖPINGS LÄN</t>
        </is>
      </c>
      <c r="G339" t="inlineStr">
        <is>
          <t>VÄRNAMO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46313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46313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46313</v>
      </c>
      <c r="F342" t="inlineStr">
        <is>
          <t>JÖNKÖPINGS LÄN</t>
        </is>
      </c>
      <c r="G342" t="inlineStr">
        <is>
          <t>VÄRNAMO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46313</v>
      </c>
      <c r="F343" t="inlineStr">
        <is>
          <t>JÖNKÖPINGS LÄN</t>
        </is>
      </c>
      <c r="G343" t="inlineStr">
        <is>
          <t>VÄRNAMO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46313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46313</v>
      </c>
      <c r="F345" t="inlineStr">
        <is>
          <t>JÖNKÖPINGS LÄN</t>
        </is>
      </c>
      <c r="G345" t="inlineStr">
        <is>
          <t>VÄRNAMO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46313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45505</v>
      </c>
      <c r="E347" s="1" t="n">
        <v>46313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46313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46050</v>
      </c>
      <c r="E349" s="1" t="n">
        <v>46313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45204</v>
      </c>
      <c r="E350" s="1" t="n">
        <v>46313</v>
      </c>
      <c r="F350" t="inlineStr">
        <is>
          <t>JÖNKÖPINGS LÄN</t>
        </is>
      </c>
      <c r="G350" t="inlineStr">
        <is>
          <t>VÄRNAMO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46313</v>
      </c>
      <c r="F351" t="inlineStr">
        <is>
          <t>JÖNKÖPINGS LÄN</t>
        </is>
      </c>
      <c r="G351" t="inlineStr">
        <is>
          <t>VÄRNAMO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45007</v>
      </c>
      <c r="E352" s="1" t="n">
        <v>46313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46313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46313</v>
      </c>
      <c r="F354" t="inlineStr">
        <is>
          <t>JÖNKÖPINGS LÄN</t>
        </is>
      </c>
      <c r="G354" t="inlineStr">
        <is>
          <t>VÄRNAMO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46313</v>
      </c>
      <c r="F355" t="inlineStr">
        <is>
          <t>JÖNKÖPINGS LÄN</t>
        </is>
      </c>
      <c r="G355" t="inlineStr">
        <is>
          <t>VÄRNAMO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46313</v>
      </c>
      <c r="F356" t="inlineStr">
        <is>
          <t>JÖNKÖPINGS LÄN</t>
        </is>
      </c>
      <c r="G356" t="inlineStr">
        <is>
          <t>VÄRNAMO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46313</v>
      </c>
      <c r="F357" t="inlineStr">
        <is>
          <t>JÖNKÖPINGS LÄN</t>
        </is>
      </c>
      <c r="G357" t="inlineStr">
        <is>
          <t>VÄRNAMO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46313</v>
      </c>
      <c r="F358" t="inlineStr">
        <is>
          <t>JÖNKÖPINGS LÄN</t>
        </is>
      </c>
      <c r="G358" t="inlineStr">
        <is>
          <t>VÄRNAMO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46313</v>
      </c>
      <c r="F359" t="inlineStr">
        <is>
          <t>JÖNKÖPINGS LÄN</t>
        </is>
      </c>
      <c r="G359" t="inlineStr">
        <is>
          <t>VÄRNAMO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46313</v>
      </c>
      <c r="F360" t="inlineStr">
        <is>
          <t>JÖNKÖPINGS LÄN</t>
        </is>
      </c>
      <c r="G360" t="inlineStr">
        <is>
          <t>VÄRNAMO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46313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46313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46313</v>
      </c>
      <c r="F363" t="inlineStr">
        <is>
          <t>JÖNKÖPINGS LÄN</t>
        </is>
      </c>
      <c r="G363" t="inlineStr">
        <is>
          <t>VÄRNAMO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45302</v>
      </c>
      <c r="E364" s="1" t="n">
        <v>46313</v>
      </c>
      <c r="F364" t="inlineStr">
        <is>
          <t>JÖNKÖPINGS LÄN</t>
        </is>
      </c>
      <c r="G364" t="inlineStr">
        <is>
          <t>VÄRNAMO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46313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46313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44652</v>
      </c>
      <c r="E367" s="1" t="n">
        <v>46313</v>
      </c>
      <c r="F367" t="inlineStr">
        <is>
          <t>JÖNKÖPINGS LÄN</t>
        </is>
      </c>
      <c r="G367" t="inlineStr">
        <is>
          <t>VÄRNAMO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46313</v>
      </c>
      <c r="F368" t="inlineStr">
        <is>
          <t>JÖNKÖPINGS LÄN</t>
        </is>
      </c>
      <c r="G368" t="inlineStr">
        <is>
          <t>VÄRNAMO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45072</v>
      </c>
      <c r="E369" s="1" t="n">
        <v>46313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62794-2023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45271</v>
      </c>
      <c r="E370" s="1" t="n">
        <v>46313</v>
      </c>
      <c r="F370" t="inlineStr">
        <is>
          <t>JÖNKÖPINGS LÄN</t>
        </is>
      </c>
      <c r="G370" t="inlineStr">
        <is>
          <t>VÄRNAMO</t>
        </is>
      </c>
      <c r="H370" t="inlineStr">
        <is>
          <t>Kommuner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27153-2026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46188</v>
      </c>
      <c r="E371" s="1" t="n">
        <v>46313</v>
      </c>
      <c r="F371" t="inlineStr">
        <is>
          <t>JÖNKÖPINGS LÄN</t>
        </is>
      </c>
      <c r="G371" t="inlineStr">
        <is>
          <t>VÄRNAMO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46313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46313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46313</v>
      </c>
      <c r="F374" t="inlineStr">
        <is>
          <t>JÖNKÖPINGS LÄN</t>
        </is>
      </c>
      <c r="G374" t="inlineStr">
        <is>
          <t>VÄRNAMO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46313</v>
      </c>
      <c r="F375" t="inlineStr">
        <is>
          <t>JÖNKÖPINGS LÄN</t>
        </is>
      </c>
      <c r="G375" t="inlineStr">
        <is>
          <t>VÄRNAMO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46313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46313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46313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46073</v>
      </c>
      <c r="E379" s="1" t="n">
        <v>46313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46073</v>
      </c>
      <c r="E380" s="1" t="n">
        <v>46313</v>
      </c>
      <c r="F380" t="inlineStr">
        <is>
          <t>JÖNKÖPINGS LÄN</t>
        </is>
      </c>
      <c r="G380" t="inlineStr">
        <is>
          <t>VÄRNAMO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9970-2026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46073</v>
      </c>
      <c r="E381" s="1" t="n">
        <v>46313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46313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46313</v>
      </c>
      <c r="F383" t="inlineStr">
        <is>
          <t>JÖNKÖPINGS LÄN</t>
        </is>
      </c>
      <c r="G383" t="inlineStr">
        <is>
          <t>VÄRNAMO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45769</v>
      </c>
      <c r="E384" s="1" t="n">
        <v>46313</v>
      </c>
      <c r="F384" t="inlineStr">
        <is>
          <t>JÖNKÖPINGS LÄN</t>
        </is>
      </c>
      <c r="G384" t="inlineStr">
        <is>
          <t>VÄRNAMO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46313</v>
      </c>
      <c r="F385" t="inlineStr">
        <is>
          <t>JÖNKÖPINGS LÄN</t>
        </is>
      </c>
      <c r="G385" t="inlineStr">
        <is>
          <t>VÄRNAMO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46313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46313</v>
      </c>
      <c r="F387" t="inlineStr">
        <is>
          <t>JÖNKÖPINGS LÄN</t>
        </is>
      </c>
      <c r="G387" t="inlineStr">
        <is>
          <t>VÄRNAMO</t>
        </is>
      </c>
      <c r="H387" t="inlineStr">
        <is>
          <t>Kommuner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27527-2024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45474</v>
      </c>
      <c r="E388" s="1" t="n">
        <v>46313</v>
      </c>
      <c r="F388" t="inlineStr">
        <is>
          <t>JÖNKÖPINGS LÄN</t>
        </is>
      </c>
      <c r="G388" t="inlineStr">
        <is>
          <t>VÄRNAMO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46313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46313</v>
      </c>
      <c r="F390" t="inlineStr">
        <is>
          <t>JÖNKÖPINGS LÄN</t>
        </is>
      </c>
      <c r="G390" t="inlineStr">
        <is>
          <t>VÄRNAMO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12095-2026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46086</v>
      </c>
      <c r="E391" s="1" t="n">
        <v>46313</v>
      </c>
      <c r="F391" t="inlineStr">
        <is>
          <t>JÖNKÖPINGS LÄN</t>
        </is>
      </c>
      <c r="G391" t="inlineStr">
        <is>
          <t>VÄRNAMO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46313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46313</v>
      </c>
      <c r="F393" t="inlineStr">
        <is>
          <t>JÖNKÖPINGS LÄN</t>
        </is>
      </c>
      <c r="G393" t="inlineStr">
        <is>
          <t>VÄRNAMO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46313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46313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46193</v>
      </c>
      <c r="E396" s="1" t="n">
        <v>46313</v>
      </c>
      <c r="F396" t="inlineStr">
        <is>
          <t>JÖNKÖPINGS LÄN</t>
        </is>
      </c>
      <c r="G396" t="inlineStr">
        <is>
          <t>VÄRNAMO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46313</v>
      </c>
      <c r="F397" t="inlineStr">
        <is>
          <t>JÖNKÖPINGS LÄN</t>
        </is>
      </c>
      <c r="G397" t="inlineStr">
        <is>
          <t>VÄRNAMO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46313</v>
      </c>
      <c r="F398" t="inlineStr">
        <is>
          <t>JÖNKÖPINGS LÄN</t>
        </is>
      </c>
      <c r="G398" t="inlineStr">
        <is>
          <t>VÄRNAMO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46313</v>
      </c>
      <c r="F399" t="inlineStr">
        <is>
          <t>JÖNKÖPINGS LÄN</t>
        </is>
      </c>
      <c r="G399" t="inlineStr">
        <is>
          <t>VÄRNAMO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46313</v>
      </c>
      <c r="F400" t="inlineStr">
        <is>
          <t>JÖNKÖPINGS LÄN</t>
        </is>
      </c>
      <c r="G400" t="inlineStr">
        <is>
          <t>VÄRNAMO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46191</v>
      </c>
      <c r="E401" s="1" t="n">
        <v>46313</v>
      </c>
      <c r="F401" t="inlineStr">
        <is>
          <t>JÖNKÖPINGS LÄN</t>
        </is>
      </c>
      <c r="G401" t="inlineStr">
        <is>
          <t>VÄRNAMO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46313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46313</v>
      </c>
      <c r="F403" t="inlineStr">
        <is>
          <t>JÖNKÖPINGS LÄN</t>
        </is>
      </c>
      <c r="G403" t="inlineStr">
        <is>
          <t>VÄRNAMO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46313</v>
      </c>
      <c r="F404" t="inlineStr">
        <is>
          <t>JÖNKÖPINGS LÄN</t>
        </is>
      </c>
      <c r="G404" t="inlineStr">
        <is>
          <t>VÄRNAMO</t>
        </is>
      </c>
      <c r="H404" t="inlineStr">
        <is>
          <t>Sveaskog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46313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45509</v>
      </c>
      <c r="E406" s="1" t="n">
        <v>46313</v>
      </c>
      <c r="F406" t="inlineStr">
        <is>
          <t>JÖNKÖPINGS LÄN</t>
        </is>
      </c>
      <c r="G406" t="inlineStr">
        <is>
          <t>VÄRNAMO</t>
        </is>
      </c>
      <c r="I406" t="n">
        <v>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46313</v>
      </c>
      <c r="F407" t="inlineStr">
        <is>
          <t>JÖNKÖPINGS LÄN</t>
        </is>
      </c>
      <c r="G407" t="inlineStr">
        <is>
          <t>VÄRNAMO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46313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46313</v>
      </c>
      <c r="F409" t="inlineStr">
        <is>
          <t>JÖNKÖPINGS LÄN</t>
        </is>
      </c>
      <c r="G409" t="inlineStr">
        <is>
          <t>VÄRNAMO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45308</v>
      </c>
      <c r="E410" s="1" t="n">
        <v>46313</v>
      </c>
      <c r="F410" t="inlineStr">
        <is>
          <t>JÖNKÖPINGS LÄN</t>
        </is>
      </c>
      <c r="G410" t="inlineStr">
        <is>
          <t>VÄRNAMO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46313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46313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46313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46313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29162-2023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45105</v>
      </c>
      <c r="E415" s="1" t="n">
        <v>46313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45105</v>
      </c>
      <c r="E416" s="1" t="n">
        <v>46313</v>
      </c>
      <c r="F416" t="inlineStr">
        <is>
          <t>JÖNKÖPINGS LÄN</t>
        </is>
      </c>
      <c r="G416" t="inlineStr">
        <is>
          <t>VÄRNAMO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46313</v>
      </c>
      <c r="F417" t="inlineStr">
        <is>
          <t>JÖNKÖPINGS LÄN</t>
        </is>
      </c>
      <c r="G417" t="inlineStr">
        <is>
          <t>VÄRNAMO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46313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45631</v>
      </c>
      <c r="E419" s="1" t="n">
        <v>46313</v>
      </c>
      <c r="F419" t="inlineStr">
        <is>
          <t>JÖNKÖPINGS LÄN</t>
        </is>
      </c>
      <c r="G419" t="inlineStr">
        <is>
          <t>VÄRNAMO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14439-2023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45012</v>
      </c>
      <c r="E420" s="1" t="n">
        <v>46313</v>
      </c>
      <c r="F420" t="inlineStr">
        <is>
          <t>JÖNKÖPINGS LÄN</t>
        </is>
      </c>
      <c r="G420" t="inlineStr">
        <is>
          <t>VÄRNAMO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46313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46313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15101-2026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46101</v>
      </c>
      <c r="E423" s="1" t="n">
        <v>46313</v>
      </c>
      <c r="F423" t="inlineStr">
        <is>
          <t>JÖNKÖPINGS LÄN</t>
        </is>
      </c>
      <c r="G423" t="inlineStr">
        <is>
          <t>VÄRNAMO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8913-2024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45357</v>
      </c>
      <c r="E424" s="1" t="n">
        <v>46313</v>
      </c>
      <c r="F424" t="inlineStr">
        <is>
          <t>JÖNKÖPINGS LÄN</t>
        </is>
      </c>
      <c r="G424" t="inlineStr">
        <is>
          <t>VÄRNAMO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46313</v>
      </c>
      <c r="F425" t="inlineStr">
        <is>
          <t>JÖNKÖPINGS LÄN</t>
        </is>
      </c>
      <c r="G425" t="inlineStr">
        <is>
          <t>VÄRNAMO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46313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45517</v>
      </c>
      <c r="E427" s="1" t="n">
        <v>46313</v>
      </c>
      <c r="F427" t="inlineStr">
        <is>
          <t>JÖNKÖPINGS LÄN</t>
        </is>
      </c>
      <c r="G427" t="inlineStr">
        <is>
          <t>VÄRNAMO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46313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68171-2021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44526</v>
      </c>
      <c r="E429" s="1" t="n">
        <v>46313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46313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11210-2024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45371</v>
      </c>
      <c r="E431" s="1" t="n">
        <v>46313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46313</v>
      </c>
      <c r="F432" t="inlineStr">
        <is>
          <t>JÖNKÖPINGS LÄN</t>
        </is>
      </c>
      <c r="G432" t="inlineStr">
        <is>
          <t>VÄRNAMO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45238</v>
      </c>
      <c r="E433" s="1" t="n">
        <v>46313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45160</v>
      </c>
      <c r="E434" s="1" t="n">
        <v>46313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51294-2023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45219</v>
      </c>
      <c r="E435" s="1" t="n">
        <v>46313</v>
      </c>
      <c r="F435" t="inlineStr">
        <is>
          <t>JÖNKÖPINGS LÄN</t>
        </is>
      </c>
      <c r="G435" t="inlineStr">
        <is>
          <t>VÄRNAMO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53533-2023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45223</v>
      </c>
      <c r="E436" s="1" t="n">
        <v>46313</v>
      </c>
      <c r="F436" t="inlineStr">
        <is>
          <t>JÖNKÖPINGS LÄN</t>
        </is>
      </c>
      <c r="G436" t="inlineStr">
        <is>
          <t>VÄRNAMO</t>
        </is>
      </c>
      <c r="H436" t="inlineStr">
        <is>
          <t>Kyrkan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52156-2023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46313</v>
      </c>
      <c r="F437" t="inlineStr">
        <is>
          <t>JÖNKÖPINGS LÄN</t>
        </is>
      </c>
      <c r="G437" t="inlineStr">
        <is>
          <t>VÄRNAMO</t>
        </is>
      </c>
      <c r="H437" t="inlineStr">
        <is>
          <t>Övriga Aktiebolag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46313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46313</v>
      </c>
      <c r="F439" t="inlineStr">
        <is>
          <t>JÖNKÖPINGS LÄN</t>
        </is>
      </c>
      <c r="G439" t="inlineStr">
        <is>
          <t>VÄRNAMO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46313</v>
      </c>
      <c r="F440" t="inlineStr">
        <is>
          <t>JÖNKÖPINGS LÄN</t>
        </is>
      </c>
      <c r="G440" t="inlineStr">
        <is>
          <t>VÄRNAMO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61503-2021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44501</v>
      </c>
      <c r="E441" s="1" t="n">
        <v>46313</v>
      </c>
      <c r="F441" t="inlineStr">
        <is>
          <t>JÖNKÖPINGS LÄN</t>
        </is>
      </c>
      <c r="G441" t="inlineStr">
        <is>
          <t>VÄRNAMO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46313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46313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46313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46313</v>
      </c>
      <c r="F445" t="inlineStr">
        <is>
          <t>JÖNKÖPINGS LÄN</t>
        </is>
      </c>
      <c r="G445" t="inlineStr">
        <is>
          <t>VÄRNAMO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45674</v>
      </c>
      <c r="E446" s="1" t="n">
        <v>46313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46313</v>
      </c>
      <c r="F447" t="inlineStr">
        <is>
          <t>JÖNKÖPINGS LÄN</t>
        </is>
      </c>
      <c r="G447" t="inlineStr">
        <is>
          <t>VÄRNAMO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46313</v>
      </c>
      <c r="F448" t="inlineStr">
        <is>
          <t>JÖNKÖPINGS LÄN</t>
        </is>
      </c>
      <c r="G448" t="inlineStr">
        <is>
          <t>VÄRNAMO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45563</v>
      </c>
      <c r="E449" s="1" t="n">
        <v>46313</v>
      </c>
      <c r="F449" t="inlineStr">
        <is>
          <t>JÖNKÖPINGS LÄN</t>
        </is>
      </c>
      <c r="G449" t="inlineStr">
        <is>
          <t>VÄRNAMO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44587</v>
      </c>
      <c r="E450" s="1" t="n">
        <v>46313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46313</v>
      </c>
      <c r="F451" t="inlineStr">
        <is>
          <t>JÖNKÖPINGS LÄN</t>
        </is>
      </c>
      <c r="G451" t="inlineStr">
        <is>
          <t>VÄRNAMO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46313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46313</v>
      </c>
      <c r="F453" t="inlineStr">
        <is>
          <t>JÖNKÖPINGS LÄN</t>
        </is>
      </c>
      <c r="G453" t="inlineStr">
        <is>
          <t>VÄRNAMO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74310-2021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44559</v>
      </c>
      <c r="E454" s="1" t="n">
        <v>46313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46313</v>
      </c>
      <c r="F455" t="inlineStr">
        <is>
          <t>JÖNKÖPINGS LÄN</t>
        </is>
      </c>
      <c r="G455" t="inlineStr">
        <is>
          <t>VÄRNAMO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45278</v>
      </c>
      <c r="E456" s="1" t="n">
        <v>46313</v>
      </c>
      <c r="F456" t="inlineStr">
        <is>
          <t>JÖNKÖPINGS LÄN</t>
        </is>
      </c>
      <c r="G456" t="inlineStr">
        <is>
          <t>VÄRNAMO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45728</v>
      </c>
      <c r="E457" s="1" t="n">
        <v>46313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45200</v>
      </c>
      <c r="E458" s="1" t="n">
        <v>46313</v>
      </c>
      <c r="F458" t="inlineStr">
        <is>
          <t>JÖNKÖPINGS LÄN</t>
        </is>
      </c>
      <c r="G458" t="inlineStr">
        <is>
          <t>VÄRNAMO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39965-2022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44820</v>
      </c>
      <c r="E459" s="1" t="n">
        <v>46313</v>
      </c>
      <c r="F459" t="inlineStr">
        <is>
          <t>JÖNKÖPINGS LÄN</t>
        </is>
      </c>
      <c r="G459" t="inlineStr">
        <is>
          <t>VÄRNAMO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46313</v>
      </c>
      <c r="F460" t="inlineStr">
        <is>
          <t>JÖNKÖPINGS LÄN</t>
        </is>
      </c>
      <c r="G460" t="inlineStr">
        <is>
          <t>VÄRNAMO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46313</v>
      </c>
      <c r="F461" t="inlineStr">
        <is>
          <t>JÖNKÖPINGS LÄN</t>
        </is>
      </c>
      <c r="G461" t="inlineStr">
        <is>
          <t>VÄRNAMO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46313</v>
      </c>
      <c r="F462" t="inlineStr">
        <is>
          <t>JÖNKÖPINGS LÄN</t>
        </is>
      </c>
      <c r="G462" t="inlineStr">
        <is>
          <t>VÄRNAMO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46313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46313</v>
      </c>
      <c r="F464" t="inlineStr">
        <is>
          <t>JÖNKÖPINGS LÄN</t>
        </is>
      </c>
      <c r="G464" t="inlineStr">
        <is>
          <t>VÄRNAMO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46230</v>
      </c>
      <c r="E465" s="1" t="n">
        <v>46313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45372</v>
      </c>
      <c r="E466" s="1" t="n">
        <v>46313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46313</v>
      </c>
      <c r="F467" t="inlineStr">
        <is>
          <t>JÖNKÖPINGS LÄN</t>
        </is>
      </c>
      <c r="G467" t="inlineStr">
        <is>
          <t>VÄRNAMO</t>
        </is>
      </c>
      <c r="I467" t="n">
        <v>13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16164-2024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46313</v>
      </c>
      <c r="F468" t="inlineStr">
        <is>
          <t>JÖNKÖPINGS LÄN</t>
        </is>
      </c>
      <c r="G468" t="inlineStr">
        <is>
          <t>VÄRNAMO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45275</v>
      </c>
      <c r="E469" s="1" t="n">
        <v>46313</v>
      </c>
      <c r="F469" t="inlineStr">
        <is>
          <t>JÖNKÖPINGS LÄN</t>
        </is>
      </c>
      <c r="G469" t="inlineStr">
        <is>
          <t>VÄRNAMO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37592-2026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46276</v>
      </c>
      <c r="E470" s="1" t="n">
        <v>46313</v>
      </c>
      <c r="F470" t="inlineStr">
        <is>
          <t>JÖNKÖPINGS LÄN</t>
        </is>
      </c>
      <c r="G470" t="inlineStr">
        <is>
          <t>VÄRNAMO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46279</v>
      </c>
      <c r="E471" s="1" t="n">
        <v>46313</v>
      </c>
      <c r="F471" t="inlineStr">
        <is>
          <t>JÖNKÖPINGS LÄN</t>
        </is>
      </c>
      <c r="G471" t="inlineStr">
        <is>
          <t>VÄRNAMO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49605-2024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45596</v>
      </c>
      <c r="E472" s="1" t="n">
        <v>46313</v>
      </c>
      <c r="F472" t="inlineStr">
        <is>
          <t>JÖNKÖPINGS LÄN</t>
        </is>
      </c>
      <c r="G472" t="inlineStr">
        <is>
          <t>VÄRNAMO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46313</v>
      </c>
      <c r="F473" t="inlineStr">
        <is>
          <t>JÖNKÖPINGS LÄN</t>
        </is>
      </c>
      <c r="G473" t="inlineStr">
        <is>
          <t>VÄRNAMO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46313</v>
      </c>
      <c r="F474" t="inlineStr">
        <is>
          <t>JÖNKÖPINGS LÄN</t>
        </is>
      </c>
      <c r="G474" t="inlineStr">
        <is>
          <t>VÄRNAMO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44729</v>
      </c>
      <c r="E475" s="1" t="n">
        <v>46313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44949</v>
      </c>
      <c r="E476" s="1" t="n">
        <v>46313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45270</v>
      </c>
      <c r="E477" s="1" t="n">
        <v>46313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56272-2022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44890</v>
      </c>
      <c r="E478" s="1" t="n">
        <v>46313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29166-2023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45105</v>
      </c>
      <c r="E479" s="1" t="n">
        <v>46313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45674</v>
      </c>
      <c r="E480" s="1" t="n">
        <v>46313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46313</v>
      </c>
      <c r="F481" t="inlineStr">
        <is>
          <t>JÖNKÖPINGS LÄN</t>
        </is>
      </c>
      <c r="G481" t="inlineStr">
        <is>
          <t>VÄRNAMO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46313</v>
      </c>
      <c r="F482" t="inlineStr">
        <is>
          <t>JÖNKÖPINGS LÄN</t>
        </is>
      </c>
      <c r="G482" t="inlineStr">
        <is>
          <t>VÄRNAMO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45554</v>
      </c>
      <c r="E483" s="1" t="n">
        <v>46313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46281</v>
      </c>
      <c r="E484" s="1" t="n">
        <v>46313</v>
      </c>
      <c r="F484" t="inlineStr">
        <is>
          <t>JÖNKÖPINGS LÄN</t>
        </is>
      </c>
      <c r="G484" t="inlineStr">
        <is>
          <t>VÄRNAMO</t>
        </is>
      </c>
      <c r="H484" t="inlineStr">
        <is>
          <t>Kommuner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45721</v>
      </c>
      <c r="E485" s="1" t="n">
        <v>46313</v>
      </c>
      <c r="F485" t="inlineStr">
        <is>
          <t>JÖNKÖPINGS LÄN</t>
        </is>
      </c>
      <c r="G485" t="inlineStr">
        <is>
          <t>VÄRNAMO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45188</v>
      </c>
      <c r="E486" s="1" t="n">
        <v>46313</v>
      </c>
      <c r="F486" t="inlineStr">
        <is>
          <t>JÖNKÖPINGS LÄN</t>
        </is>
      </c>
      <c r="G486" t="inlineStr">
        <is>
          <t>VÄRNAMO</t>
        </is>
      </c>
      <c r="I486" t="n">
        <v>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45547</v>
      </c>
      <c r="E487" s="1" t="n">
        <v>46313</v>
      </c>
      <c r="F487" t="inlineStr">
        <is>
          <t>JÖNKÖPINGS LÄN</t>
        </is>
      </c>
      <c r="G487" t="inlineStr">
        <is>
          <t>VÄRNAMO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46238</v>
      </c>
      <c r="E488" s="1" t="n">
        <v>46313</v>
      </c>
      <c r="F488" t="inlineStr">
        <is>
          <t>JÖNKÖPINGS LÄN</t>
        </is>
      </c>
      <c r="G488" t="inlineStr">
        <is>
          <t>VÄRNAMO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32413-2026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46238</v>
      </c>
      <c r="E489" s="1" t="n">
        <v>46313</v>
      </c>
      <c r="F489" t="inlineStr">
        <is>
          <t>JÖNKÖPINGS LÄN</t>
        </is>
      </c>
      <c r="G489" t="inlineStr">
        <is>
          <t>VÄRNAMO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46313</v>
      </c>
      <c r="F490" t="inlineStr">
        <is>
          <t>JÖNKÖPINGS LÄN</t>
        </is>
      </c>
      <c r="G490" t="inlineStr">
        <is>
          <t>VÄRNAMO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44949</v>
      </c>
      <c r="E491" s="1" t="n">
        <v>46313</v>
      </c>
      <c r="F491" t="inlineStr">
        <is>
          <t>JÖNKÖPINGS LÄN</t>
        </is>
      </c>
      <c r="G491" t="inlineStr">
        <is>
          <t>VÄRNAMO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56415-2023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45243</v>
      </c>
      <c r="E492" s="1" t="n">
        <v>46313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46313</v>
      </c>
      <c r="F493" t="inlineStr">
        <is>
          <t>JÖNKÖPINGS LÄN</t>
        </is>
      </c>
      <c r="G493" t="inlineStr">
        <is>
          <t>VÄRNAMO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40777-2024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46313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74026-2021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44553</v>
      </c>
      <c r="E495" s="1" t="n">
        <v>46313</v>
      </c>
      <c r="F495" t="inlineStr">
        <is>
          <t>JÖNKÖPINGS LÄN</t>
        </is>
      </c>
      <c r="G495" t="inlineStr">
        <is>
          <t>VÄRNAMO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74027-2021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44553</v>
      </c>
      <c r="E496" s="1" t="n">
        <v>46313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45701</v>
      </c>
      <c r="E497" s="1" t="n">
        <v>46313</v>
      </c>
      <c r="F497" t="inlineStr">
        <is>
          <t>JÖNKÖPINGS LÄN</t>
        </is>
      </c>
      <c r="G497" t="inlineStr">
        <is>
          <t>VÄRNAMO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45971</v>
      </c>
      <c r="E498" s="1" t="n">
        <v>46313</v>
      </c>
      <c r="F498" t="inlineStr">
        <is>
          <t>JÖNKÖPINGS LÄN</t>
        </is>
      </c>
      <c r="G498" t="inlineStr">
        <is>
          <t>VÄRNAMO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46313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45393</v>
      </c>
      <c r="E500" s="1" t="n">
        <v>46313</v>
      </c>
      <c r="F500" t="inlineStr">
        <is>
          <t>JÖNKÖPINGS LÄN</t>
        </is>
      </c>
      <c r="G500" t="inlineStr">
        <is>
          <t>VÄRNAMO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46313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41316-2023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45173</v>
      </c>
      <c r="E502" s="1" t="n">
        <v>46313</v>
      </c>
      <c r="F502" t="inlineStr">
        <is>
          <t>JÖNKÖPINGS LÄN</t>
        </is>
      </c>
      <c r="G502" t="inlineStr">
        <is>
          <t>VÄRNAMO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45343</v>
      </c>
      <c r="E503" s="1" t="n">
        <v>46313</v>
      </c>
      <c r="F503" t="inlineStr">
        <is>
          <t>JÖNKÖPINGS LÄN</t>
        </is>
      </c>
      <c r="G503" t="inlineStr">
        <is>
          <t>VÄRNAMO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6918-2024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45343</v>
      </c>
      <c r="E504" s="1" t="n">
        <v>46313</v>
      </c>
      <c r="F504" t="inlineStr">
        <is>
          <t>JÖNKÖPINGS LÄN</t>
        </is>
      </c>
      <c r="G504" t="inlineStr">
        <is>
          <t>VÄRNAMO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46313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44051-2023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46313</v>
      </c>
      <c r="F506" t="inlineStr">
        <is>
          <t>JÖNKÖPINGS LÄN</t>
        </is>
      </c>
      <c r="G506" t="inlineStr">
        <is>
          <t>VÄRNAMO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39656-2023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45167</v>
      </c>
      <c r="E507" s="1" t="n">
        <v>46313</v>
      </c>
      <c r="F507" t="inlineStr">
        <is>
          <t>JÖNKÖPINGS LÄN</t>
        </is>
      </c>
      <c r="G507" t="inlineStr">
        <is>
          <t>VÄRNAMO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46313</v>
      </c>
      <c r="F508" t="inlineStr">
        <is>
          <t>JÖNKÖPINGS LÄN</t>
        </is>
      </c>
      <c r="G508" t="inlineStr">
        <is>
          <t>VÄRNAMO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42830-2024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46313</v>
      </c>
      <c r="F509" t="inlineStr">
        <is>
          <t>JÖNKÖPINGS LÄN</t>
        </is>
      </c>
      <c r="G509" t="inlineStr">
        <is>
          <t>VÄRNAMO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36729-2022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44805</v>
      </c>
      <c r="E510" s="1" t="n">
        <v>46313</v>
      </c>
      <c r="F510" t="inlineStr">
        <is>
          <t>JÖNKÖPINGS LÄN</t>
        </is>
      </c>
      <c r="G510" t="inlineStr">
        <is>
          <t>VÄRNAMO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46313</v>
      </c>
      <c r="F511" t="inlineStr">
        <is>
          <t>JÖNKÖPINGS LÄN</t>
        </is>
      </c>
      <c r="G511" t="inlineStr">
        <is>
          <t>VÄRNAMO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46288</v>
      </c>
      <c r="E512" s="1" t="n">
        <v>46313</v>
      </c>
      <c r="F512" t="inlineStr">
        <is>
          <t>JÖNKÖPINGS LÄN</t>
        </is>
      </c>
      <c r="G512" t="inlineStr">
        <is>
          <t>VÄRNAMO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46313</v>
      </c>
      <c r="F513" t="inlineStr">
        <is>
          <t>JÖNKÖPINGS LÄN</t>
        </is>
      </c>
      <c r="G513" t="inlineStr">
        <is>
          <t>VÄRNAMO</t>
        </is>
      </c>
      <c r="H513" t="inlineStr">
        <is>
          <t>Kommuner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46313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20199-2022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44698</v>
      </c>
      <c r="E515" s="1" t="n">
        <v>46313</v>
      </c>
      <c r="F515" t="inlineStr">
        <is>
          <t>JÖNKÖPINGS LÄN</t>
        </is>
      </c>
      <c r="G515" t="inlineStr">
        <is>
          <t>VÄRNAMO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46313</v>
      </c>
      <c r="F516" t="inlineStr">
        <is>
          <t>JÖNKÖPINGS LÄN</t>
        </is>
      </c>
      <c r="G516" t="inlineStr">
        <is>
          <t>VÄRNAMO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39377-2026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46288</v>
      </c>
      <c r="E517" s="1" t="n">
        <v>46313</v>
      </c>
      <c r="F517" t="inlineStr">
        <is>
          <t>JÖNKÖPINGS LÄN</t>
        </is>
      </c>
      <c r="G517" t="inlineStr">
        <is>
          <t>VÄRNAMO</t>
        </is>
      </c>
      <c r="H517" t="inlineStr">
        <is>
          <t>Kommuner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46313</v>
      </c>
      <c r="F518" t="inlineStr">
        <is>
          <t>JÖNKÖPINGS LÄN</t>
        </is>
      </c>
      <c r="G518" t="inlineStr">
        <is>
          <t>VÄRNAMO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46313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46313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44936</v>
      </c>
      <c r="E521" s="1" t="n">
        <v>46313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46313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46313</v>
      </c>
      <c r="F523" t="inlineStr">
        <is>
          <t>JÖNKÖPINGS LÄN</t>
        </is>
      </c>
      <c r="G523" t="inlineStr">
        <is>
          <t>VÄRNAMO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18890-2023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45044</v>
      </c>
      <c r="E524" s="1" t="n">
        <v>46313</v>
      </c>
      <c r="F524" t="inlineStr">
        <is>
          <t>JÖNKÖPINGS LÄN</t>
        </is>
      </c>
      <c r="G524" t="inlineStr">
        <is>
          <t>VÄRNAMO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46313</v>
      </c>
      <c r="F525" t="inlineStr">
        <is>
          <t>JÖNKÖPINGS LÄN</t>
        </is>
      </c>
      <c r="G525" t="inlineStr">
        <is>
          <t>VÄRNAMO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64002-2023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45278</v>
      </c>
      <c r="E526" s="1" t="n">
        <v>46313</v>
      </c>
      <c r="F526" t="inlineStr">
        <is>
          <t>JÖNKÖPINGS LÄN</t>
        </is>
      </c>
      <c r="G526" t="inlineStr">
        <is>
          <t>VÄRNAMO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46313</v>
      </c>
      <c r="F527" t="inlineStr">
        <is>
          <t>JÖNKÖPINGS LÄN</t>
        </is>
      </c>
      <c r="G527" t="inlineStr">
        <is>
          <t>VÄRNAMO</t>
        </is>
      </c>
      <c r="I527" t="n">
        <v>11.7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51754-2024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46313</v>
      </c>
      <c r="F528" t="inlineStr">
        <is>
          <t>JÖNKÖPINGS LÄN</t>
        </is>
      </c>
      <c r="G528" t="inlineStr">
        <is>
          <t>VÄRNAMO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46313</v>
      </c>
      <c r="F529" t="inlineStr">
        <is>
          <t>JÖNKÖPINGS LÄN</t>
        </is>
      </c>
      <c r="G529" t="inlineStr">
        <is>
          <t>VÄRNAMO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46294</v>
      </c>
      <c r="E530" s="1" t="n">
        <v>46313</v>
      </c>
      <c r="F530" t="inlineStr">
        <is>
          <t>JÖNKÖPINGS LÄN</t>
        </is>
      </c>
      <c r="G530" t="inlineStr">
        <is>
          <t>VÄRNAMO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46313</v>
      </c>
      <c r="F531" t="inlineStr">
        <is>
          <t>JÖNKÖPINGS LÄN</t>
        </is>
      </c>
      <c r="G531" t="inlineStr">
        <is>
          <t>VÄRNAMO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64048-2023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45279</v>
      </c>
      <c r="E532" s="1" t="n">
        <v>46313</v>
      </c>
      <c r="F532" t="inlineStr">
        <is>
          <t>JÖNKÖPINGS LÄN</t>
        </is>
      </c>
      <c r="G532" t="inlineStr">
        <is>
          <t>VÄRNAMO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20481-2022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46313</v>
      </c>
      <c r="F533" t="inlineStr">
        <is>
          <t>JÖNKÖPINGS LÄN</t>
        </is>
      </c>
      <c r="G533" t="inlineStr">
        <is>
          <t>VÄRNAMO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40283-2026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46294</v>
      </c>
      <c r="E534" s="1" t="n">
        <v>46313</v>
      </c>
      <c r="F534" t="inlineStr">
        <is>
          <t>JÖNKÖPINGS LÄN</t>
        </is>
      </c>
      <c r="G534" t="inlineStr">
        <is>
          <t>VÄRNAMO</t>
        </is>
      </c>
      <c r="H534" t="inlineStr">
        <is>
          <t>Kommuner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46313</v>
      </c>
      <c r="F535" t="inlineStr">
        <is>
          <t>JÖNKÖPINGS LÄN</t>
        </is>
      </c>
      <c r="G535" t="inlineStr">
        <is>
          <t>VÄRNAMO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46313</v>
      </c>
      <c r="F536" t="inlineStr">
        <is>
          <t>JÖNKÖPINGS LÄN</t>
        </is>
      </c>
      <c r="G536" t="inlineStr">
        <is>
          <t>VÄRNAMO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45197</v>
      </c>
      <c r="E537" s="1" t="n">
        <v>46313</v>
      </c>
      <c r="F537" t="inlineStr">
        <is>
          <t>JÖNKÖPINGS LÄN</t>
        </is>
      </c>
      <c r="G537" t="inlineStr">
        <is>
          <t>VÄRNAMO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46313</v>
      </c>
      <c r="F538" t="inlineStr">
        <is>
          <t>JÖNKÖPINGS LÄN</t>
        </is>
      </c>
      <c r="G538" t="inlineStr">
        <is>
          <t>VÄRNAMO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45146</v>
      </c>
      <c r="E539" s="1" t="n">
        <v>46313</v>
      </c>
      <c r="F539" t="inlineStr">
        <is>
          <t>JÖNKÖPINGS LÄN</t>
        </is>
      </c>
      <c r="G539" t="inlineStr">
        <is>
          <t>VÄRNAMO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62798-2023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45271</v>
      </c>
      <c r="E540" s="1" t="n">
        <v>46313</v>
      </c>
      <c r="F540" t="inlineStr">
        <is>
          <t>JÖNKÖPINGS LÄN</t>
        </is>
      </c>
      <c r="G540" t="inlineStr">
        <is>
          <t>VÄRNAMO</t>
        </is>
      </c>
      <c r="H540" t="inlineStr">
        <is>
          <t>Kommuner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45265</v>
      </c>
      <c r="E541" s="1" t="n">
        <v>46313</v>
      </c>
      <c r="F541" t="inlineStr">
        <is>
          <t>JÖNKÖPINGS LÄN</t>
        </is>
      </c>
      <c r="G541" t="inlineStr">
        <is>
          <t>VÄRNAMO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34402-2026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46313</v>
      </c>
      <c r="F542" t="inlineStr">
        <is>
          <t>JÖNKÖPINGS LÄN</t>
        </is>
      </c>
      <c r="G542" t="inlineStr">
        <is>
          <t>VÄRNAMO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46313</v>
      </c>
      <c r="F543" t="inlineStr">
        <is>
          <t>JÖNKÖPINGS LÄN</t>
        </is>
      </c>
      <c r="G543" t="inlineStr">
        <is>
          <t>VÄRNAMO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12305-2023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44998</v>
      </c>
      <c r="E544" s="1" t="n">
        <v>46313</v>
      </c>
      <c r="F544" t="inlineStr">
        <is>
          <t>JÖNKÖPINGS LÄN</t>
        </is>
      </c>
      <c r="G544" t="inlineStr">
        <is>
          <t>VÄRNAMO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40944-2026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46297</v>
      </c>
      <c r="E545" s="1" t="n">
        <v>46313</v>
      </c>
      <c r="F545" t="inlineStr">
        <is>
          <t>JÖNKÖPINGS LÄN</t>
        </is>
      </c>
      <c r="G545" t="inlineStr">
        <is>
          <t>VÄRNAMO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46313</v>
      </c>
      <c r="F546" t="inlineStr">
        <is>
          <t>JÖNKÖPINGS LÄN</t>
        </is>
      </c>
      <c r="G546" t="inlineStr">
        <is>
          <t>VÄRNAMO</t>
        </is>
      </c>
      <c r="H546" t="inlineStr">
        <is>
          <t>Kommuner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62274-2025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46313</v>
      </c>
      <c r="F547" t="inlineStr">
        <is>
          <t>JÖNKÖPINGS LÄN</t>
        </is>
      </c>
      <c r="G547" t="inlineStr">
        <is>
          <t>VÄRNAMO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45036</v>
      </c>
      <c r="E548" s="1" t="n">
        <v>46313</v>
      </c>
      <c r="F548" t="inlineStr">
        <is>
          <t>JÖNKÖPINGS LÄN</t>
        </is>
      </c>
      <c r="G548" t="inlineStr">
        <is>
          <t>VÄRNAMO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41381-2026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46301</v>
      </c>
      <c r="E549" s="1" t="n">
        <v>46313</v>
      </c>
      <c r="F549" t="inlineStr">
        <is>
          <t>JÖNKÖPINGS LÄN</t>
        </is>
      </c>
      <c r="G549" t="inlineStr">
        <is>
          <t>VÄRNAMO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46313</v>
      </c>
      <c r="F550" t="inlineStr">
        <is>
          <t>JÖNKÖPINGS LÄN</t>
        </is>
      </c>
      <c r="G550" t="inlineStr">
        <is>
          <t>VÄRNAMO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46313</v>
      </c>
      <c r="F551" t="inlineStr">
        <is>
          <t>JÖNKÖPINGS LÄN</t>
        </is>
      </c>
      <c r="G551" t="inlineStr">
        <is>
          <t>VÄRNAMO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45037</v>
      </c>
      <c r="E552" s="1" t="n">
        <v>46313</v>
      </c>
      <c r="F552" t="inlineStr">
        <is>
          <t>JÖNKÖPINGS LÄN</t>
        </is>
      </c>
      <c r="G552" t="inlineStr">
        <is>
          <t>VÄRNAMO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45777</v>
      </c>
      <c r="E553" s="1" t="n">
        <v>46313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48186-2024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45589</v>
      </c>
      <c r="E554" s="1" t="n">
        <v>46313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45160-2025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45919</v>
      </c>
      <c r="E555" s="1" t="n">
        <v>46313</v>
      </c>
      <c r="F555" t="inlineStr">
        <is>
          <t>JÖNKÖPINGS LÄN</t>
        </is>
      </c>
      <c r="G555" t="inlineStr">
        <is>
          <t>VÄRNAMO</t>
        </is>
      </c>
      <c r="I555" t="n">
        <v>5.4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26271-2024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45468</v>
      </c>
      <c r="E556" s="1" t="n">
        <v>46313</v>
      </c>
      <c r="F556" t="inlineStr">
        <is>
          <t>JÖNKÖPINGS LÄN</t>
        </is>
      </c>
      <c r="G556" t="inlineStr">
        <is>
          <t>VÄRNAMO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45428</v>
      </c>
      <c r="E557" s="1" t="n">
        <v>46313</v>
      </c>
      <c r="F557" t="inlineStr">
        <is>
          <t>JÖNKÖPINGS LÄN</t>
        </is>
      </c>
      <c r="G557" t="inlineStr">
        <is>
          <t>VÄRNAMO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46313</v>
      </c>
      <c r="F558" t="inlineStr">
        <is>
          <t>JÖNKÖPINGS LÄN</t>
        </is>
      </c>
      <c r="G558" t="inlineStr">
        <is>
          <t>VÄRNAMO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56413-2023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46313</v>
      </c>
      <c r="F559" t="inlineStr">
        <is>
          <t>JÖNKÖPINGS LÄN</t>
        </is>
      </c>
      <c r="G559" t="inlineStr">
        <is>
          <t>VÄRNAMO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45445</v>
      </c>
      <c r="E560" s="1" t="n">
        <v>46313</v>
      </c>
      <c r="F560" t="inlineStr">
        <is>
          <t>JÖNKÖPINGS LÄN</t>
        </is>
      </c>
      <c r="G560" t="inlineStr">
        <is>
          <t>VÄRNAMO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22994-2025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46313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11112-2025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46313</v>
      </c>
      <c r="F562" t="inlineStr">
        <is>
          <t>JÖNKÖPINGS LÄN</t>
        </is>
      </c>
      <c r="G562" t="inlineStr">
        <is>
          <t>VÄRNAMO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41893-2024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46313</v>
      </c>
      <c r="F563" t="inlineStr">
        <is>
          <t>JÖNKÖPINGS LÄN</t>
        </is>
      </c>
      <c r="G563" t="inlineStr">
        <is>
          <t>VÄRNAMO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23671-2025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45792</v>
      </c>
      <c r="E564" s="1" t="n">
        <v>46313</v>
      </c>
      <c r="F564" t="inlineStr">
        <is>
          <t>JÖNKÖPINGS LÄN</t>
        </is>
      </c>
      <c r="G564" t="inlineStr">
        <is>
          <t>VÄRNAMO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42307-2026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46307</v>
      </c>
      <c r="E565" s="1" t="n">
        <v>46313</v>
      </c>
      <c r="F565" t="inlineStr">
        <is>
          <t>JÖNKÖPINGS LÄN</t>
        </is>
      </c>
      <c r="G565" t="inlineStr">
        <is>
          <t>VÄRNAMO</t>
        </is>
      </c>
      <c r="H565" t="inlineStr">
        <is>
          <t>Övriga Aktiebolag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24100-2025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46313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35720-2026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46265</v>
      </c>
      <c r="E567" s="1" t="n">
        <v>46313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46313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42318-2026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46307</v>
      </c>
      <c r="E569" s="1" t="n">
        <v>46313</v>
      </c>
      <c r="F569" t="inlineStr">
        <is>
          <t>JÖNKÖPINGS LÄN</t>
        </is>
      </c>
      <c r="G569" t="inlineStr">
        <is>
          <t>VÄRNAMO</t>
        </is>
      </c>
      <c r="H569" t="inlineStr">
        <is>
          <t>Övriga Aktiebolag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45674</v>
      </c>
      <c r="E570" s="1" t="n">
        <v>46313</v>
      </c>
      <c r="F570" t="inlineStr">
        <is>
          <t>JÖNKÖPINGS LÄN</t>
        </is>
      </c>
      <c r="G570" t="inlineStr">
        <is>
          <t>VÄRNAMO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46313</v>
      </c>
      <c r="F571" t="inlineStr">
        <is>
          <t>JÖNKÖPINGS LÄN</t>
        </is>
      </c>
      <c r="G571" t="inlineStr">
        <is>
          <t>VÄRNAMO</t>
        </is>
      </c>
      <c r="H571" t="inlineStr">
        <is>
          <t>Övriga Aktiebolag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46304</v>
      </c>
      <c r="E572" s="1" t="n">
        <v>46313</v>
      </c>
      <c r="F572" t="inlineStr">
        <is>
          <t>JÖNKÖPINGS LÄN</t>
        </is>
      </c>
      <c r="G572" t="inlineStr">
        <is>
          <t>VÄRNAMO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42174-2026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46304</v>
      </c>
      <c r="E573" s="1" t="n">
        <v>46313</v>
      </c>
      <c r="F573" t="inlineStr">
        <is>
          <t>JÖNKÖPINGS LÄN</t>
        </is>
      </c>
      <c r="G573" t="inlineStr">
        <is>
          <t>VÄRNAMO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46313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46308</v>
      </c>
      <c r="E575" s="1" t="n">
        <v>46313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39089-2026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46313</v>
      </c>
      <c r="F576" t="inlineStr">
        <is>
          <t>JÖNKÖPINGS LÄN</t>
        </is>
      </c>
      <c r="G576" t="inlineStr">
        <is>
          <t>VÄRNAMO</t>
        </is>
      </c>
      <c r="H576" t="inlineStr">
        <is>
          <t>Kyrkan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25084-2025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45800</v>
      </c>
      <c r="E577" s="1" t="n">
        <v>46313</v>
      </c>
      <c r="F577" t="inlineStr">
        <is>
          <t>JÖNKÖPINGS LÄN</t>
        </is>
      </c>
      <c r="G577" t="inlineStr">
        <is>
          <t>VÄRNAMO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20835-2024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46313</v>
      </c>
      <c r="F578" t="inlineStr">
        <is>
          <t>JÖNKÖPINGS LÄN</t>
        </is>
      </c>
      <c r="G578" t="inlineStr">
        <is>
          <t>VÄRNAMO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46308</v>
      </c>
      <c r="E579" s="1" t="n">
        <v>46313</v>
      </c>
      <c r="F579" t="inlineStr">
        <is>
          <t>JÖNKÖPINGS LÄN</t>
        </is>
      </c>
      <c r="G579" t="inlineStr">
        <is>
          <t>VÄRNAMO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42796-2026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46309</v>
      </c>
      <c r="E580" s="1" t="n">
        <v>46313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46265</v>
      </c>
      <c r="E581" s="1" t="n">
        <v>46313</v>
      </c>
      <c r="F581" t="inlineStr">
        <is>
          <t>JÖNKÖPINGS LÄN</t>
        </is>
      </c>
      <c r="G581" t="inlineStr">
        <is>
          <t>VÄRNAMO</t>
        </is>
      </c>
      <c r="H581" t="inlineStr">
        <is>
          <t>Kommuner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46308</v>
      </c>
      <c r="E582" s="1" t="n">
        <v>46313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42494-2023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45180</v>
      </c>
      <c r="E583" s="1" t="n">
        <v>46313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42601-2026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46313</v>
      </c>
      <c r="F584" t="inlineStr">
        <is>
          <t>JÖNKÖPINGS LÄN</t>
        </is>
      </c>
      <c r="G584" t="inlineStr">
        <is>
          <t>VÄRNAMO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46313</v>
      </c>
      <c r="F585" t="inlineStr">
        <is>
          <t>JÖNKÖPINGS LÄN</t>
        </is>
      </c>
      <c r="G585" t="inlineStr">
        <is>
          <t>VÄRNAMO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52146-2024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46313</v>
      </c>
      <c r="F586" t="inlineStr">
        <is>
          <t>JÖNKÖPINGS LÄN</t>
        </is>
      </c>
      <c r="G586" t="inlineStr">
        <is>
          <t>VÄRNAMO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61725-2024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45649</v>
      </c>
      <c r="E587" s="1" t="n">
        <v>46313</v>
      </c>
      <c r="F587" t="inlineStr">
        <is>
          <t>JÖNKÖPINGS LÄN</t>
        </is>
      </c>
      <c r="G587" t="inlineStr">
        <is>
          <t>VÄRNAMO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46313</v>
      </c>
      <c r="F588" t="inlineStr">
        <is>
          <t>JÖNKÖPINGS LÄN</t>
        </is>
      </c>
      <c r="G588" t="inlineStr">
        <is>
          <t>VÄRNAMO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45820</v>
      </c>
      <c r="E589" s="1" t="n">
        <v>46313</v>
      </c>
      <c r="F589" t="inlineStr">
        <is>
          <t>JÖNKÖPINGS LÄN</t>
        </is>
      </c>
      <c r="G589" t="inlineStr">
        <is>
          <t>VÄRNAMO</t>
        </is>
      </c>
      <c r="H589" t="inlineStr">
        <is>
          <t>Kyrkan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46313</v>
      </c>
      <c r="F590" t="inlineStr">
        <is>
          <t>JÖNKÖPINGS LÄN</t>
        </is>
      </c>
      <c r="G590" t="inlineStr">
        <is>
          <t>VÄRNAMO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46310</v>
      </c>
      <c r="E591" s="1" t="n">
        <v>46313</v>
      </c>
      <c r="F591" t="inlineStr">
        <is>
          <t>JÖNKÖPINGS LÄN</t>
        </is>
      </c>
      <c r="G591" t="inlineStr">
        <is>
          <t>VÄRNAMO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45825</v>
      </c>
      <c r="E592" s="1" t="n">
        <v>46313</v>
      </c>
      <c r="F592" t="inlineStr">
        <is>
          <t>JÖNKÖPINGS LÄN</t>
        </is>
      </c>
      <c r="G592" t="inlineStr">
        <is>
          <t>VÄRNAMO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46313</v>
      </c>
      <c r="F593" t="inlineStr">
        <is>
          <t>JÖNKÖPINGS LÄN</t>
        </is>
      </c>
      <c r="G593" t="inlineStr">
        <is>
          <t>VÄRNAMO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36259-2026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46268</v>
      </c>
      <c r="E594" s="1" t="n">
        <v>46313</v>
      </c>
      <c r="F594" t="inlineStr">
        <is>
          <t>JÖNKÖPINGS LÄN</t>
        </is>
      </c>
      <c r="G594" t="inlineStr">
        <is>
          <t>VÄRNAMO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46313</v>
      </c>
      <c r="F595" t="inlineStr">
        <is>
          <t>JÖNKÖPINGS LÄN</t>
        </is>
      </c>
      <c r="G595" t="inlineStr">
        <is>
          <t>VÄRNAMO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46313</v>
      </c>
      <c r="F596" t="inlineStr">
        <is>
          <t>JÖNKÖPINGS LÄN</t>
        </is>
      </c>
      <c r="G596" t="inlineStr">
        <is>
          <t>VÄRNAMO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45832</v>
      </c>
      <c r="E597" s="1" t="n">
        <v>46313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46313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45833</v>
      </c>
      <c r="E599" s="1" t="n">
        <v>46313</v>
      </c>
      <c r="F599" t="inlineStr">
        <is>
          <t>JÖNKÖPINGS LÄN</t>
        </is>
      </c>
      <c r="G599" t="inlineStr">
        <is>
          <t>VÄRNAMO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46313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45659</v>
      </c>
      <c r="E601" s="1" t="n">
        <v>46313</v>
      </c>
      <c r="F601" t="inlineStr">
        <is>
          <t>JÖNKÖPINGS LÄN</t>
        </is>
      </c>
      <c r="G601" t="inlineStr">
        <is>
          <t>VÄRNAMO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46313</v>
      </c>
      <c r="F602" t="inlineStr">
        <is>
          <t>JÖNKÖPINGS LÄN</t>
        </is>
      </c>
      <c r="G602" t="inlineStr">
        <is>
          <t>VÄRNAMO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46313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46313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46313</v>
      </c>
      <c r="F605" t="inlineStr">
        <is>
          <t>JÖNKÖPINGS LÄN</t>
        </is>
      </c>
      <c r="G605" t="inlineStr">
        <is>
          <t>VÄRNAMO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46313</v>
      </c>
      <c r="F606" t="inlineStr">
        <is>
          <t>JÖNKÖPINGS LÄN</t>
        </is>
      </c>
      <c r="G606" t="inlineStr">
        <is>
          <t>VÄRNAMO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45604</v>
      </c>
      <c r="E607" s="1" t="n">
        <v>46313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45853</v>
      </c>
      <c r="E608" s="1" t="n">
        <v>46313</v>
      </c>
      <c r="F608" t="inlineStr">
        <is>
          <t>JÖNKÖPINGS LÄN</t>
        </is>
      </c>
      <c r="G608" t="inlineStr">
        <is>
          <t>VÄRNAMO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45748</v>
      </c>
      <c r="E609" s="1" t="n">
        <v>46313</v>
      </c>
      <c r="F609" t="inlineStr">
        <is>
          <t>JÖNKÖPINGS LÄN</t>
        </is>
      </c>
      <c r="G609" t="inlineStr">
        <is>
          <t>VÄRNAMO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45802</v>
      </c>
      <c r="E610" s="1" t="n">
        <v>46313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46313</v>
      </c>
      <c r="F611" t="inlineStr">
        <is>
          <t>JÖNKÖPINGS LÄN</t>
        </is>
      </c>
      <c r="G611" t="inlineStr">
        <is>
          <t>VÄRNAMO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46313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45876</v>
      </c>
      <c r="E613" s="1" t="n">
        <v>46313</v>
      </c>
      <c r="F613" t="inlineStr">
        <is>
          <t>JÖNKÖPINGS LÄN</t>
        </is>
      </c>
      <c r="G613" t="inlineStr">
        <is>
          <t>VÄRNAMO</t>
        </is>
      </c>
      <c r="I613" t="n">
        <v>14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46313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46313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46313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46313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46313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46313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46313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46313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46313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46313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46313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46313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46313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46313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46313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46313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46313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46313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46313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2026-10-18T08:04:46Z</dcterms:created>
  <dcterms:modified xmlns:dcterms="http://purl.org/dc/terms/" xmlns:xsi="http://www.w3.org/2001/XMLSchema-instance" xsi:type="dcterms:W3CDTF">2026-10-18T08:04:47Z</dcterms:modified>
</cp:coreProperties>
</file>