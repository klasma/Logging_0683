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46250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46250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46250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46250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46250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46250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46250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46250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46250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46250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46250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46250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46250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46250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46250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9042-2025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46250</v>
      </c>
      <c r="F19" t="inlineStr">
        <is>
          <t>JÖNKÖPINGS LÄN</t>
        </is>
      </c>
      <c r="G19" t="inlineStr">
        <is>
          <t>VÄRNAMO</t>
        </is>
      </c>
      <c r="H19" t="inlineStr">
        <is>
          <t>Sveaskog</t>
        </is>
      </c>
      <c r="I19" t="n">
        <v>3.9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Lönnsavblomfluga</t>
        </is>
      </c>
      <c r="W19">
        <f>HYPERLINK("https://klasma.github.io/Logging_0683/artfynd/A 9042-2025 artfynd.xlsx", "A 9042-2025")</f>
        <v/>
      </c>
      <c r="X19">
        <f>HYPERLINK("https://klasma.github.io/Logging_0683/kartor/A 9042-2025 karta.png", "A 9042-2025")</f>
        <v/>
      </c>
      <c r="Y19">
        <f>HYPERLINK("https://klasma.github.io/Logging_0683/kartor_geotiff/A 9042-2025 georefererad karta.tif", "A 9042-2025")</f>
        <v/>
      </c>
      <c r="AA19">
        <f>HYPERLINK("https://klasma.github.io/Logging_0683/klagomål/A 9042-2025 FSC-klagomål.docx", "A 9042-2025")</f>
        <v/>
      </c>
      <c r="AB19">
        <f>HYPERLINK("https://klasma.github.io/Logging_0683/klagomålsmail/A 9042-2025 FSC-klagomål mail.docx", "A 9042-2025")</f>
        <v/>
      </c>
      <c r="AC19">
        <f>HYPERLINK("https://klasma.github.io/Logging_0683/tillsyn/A 9042-2025 tillsynsbegäran.docx", "A 9042-2025")</f>
        <v/>
      </c>
      <c r="AD19">
        <f>HYPERLINK("https://klasma.github.io/Logging_0683/tillsynsmail/A 9042-2025 tillsynsbegäran mail.docx", "A 9042-2025")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46250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46250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61264-2023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46250</v>
      </c>
      <c r="F22" t="inlineStr">
        <is>
          <t>JÖNKÖPINGS LÄN</t>
        </is>
      </c>
      <c r="G22" t="inlineStr">
        <is>
          <t>VÄRNAMO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HYPERLINK("https://klasma.github.io/Logging_0683/artfynd/A 61264-2023 artfynd.xlsx", "A 61264-2023")</f>
        <v/>
      </c>
      <c r="X22">
        <f>HYPERLINK("https://klasma.github.io/Logging_0683/kartor/A 61264-2023 karta.png", "A 61264-2023")</f>
        <v/>
      </c>
      <c r="Y22">
        <f>HYPERLINK("https://klasma.github.io/Logging_0683/kartor_geotiff/A 61264-2023 georefererad karta.tif", "A 61264-2023")</f>
        <v/>
      </c>
      <c r="AA22">
        <f>HYPERLINK("https://klasma.github.io/Logging_0683/klagomål/A 61264-2023 FSC-klagomål.docx", "A 61264-2023")</f>
        <v/>
      </c>
      <c r="AB22">
        <f>HYPERLINK("https://klasma.github.io/Logging_0683/klagomålsmail/A 61264-2023 FSC-klagomål mail.docx", "A 61264-2023")</f>
        <v/>
      </c>
      <c r="AC22">
        <f>HYPERLINK("https://klasma.github.io/Logging_0683/tillsyn/A 61264-2023 tillsynsbegäran.docx", "A 61264-2023")</f>
        <v/>
      </c>
      <c r="AD22">
        <f>HYPERLINK("https://klasma.github.io/Logging_0683/tillsynsmail/A 61264-2023 tillsynsbegäran mail.docx", "A 61264-2023")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46250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46250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20253-2025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45772</v>
      </c>
      <c r="E25" s="1" t="n">
        <v>46250</v>
      </c>
      <c r="F25" t="inlineStr">
        <is>
          <t>JÖNKÖPINGS LÄN</t>
        </is>
      </c>
      <c r="G25" t="inlineStr">
        <is>
          <t>VÄRNAMO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HYPERLINK("https://klasma.github.io/Logging_0683/artfynd/A 20253-2025 artfynd.xlsx", "A 20253-2025")</f>
        <v/>
      </c>
      <c r="X25">
        <f>HYPERLINK("https://klasma.github.io/Logging_0683/kartor/A 20253-2025 karta.png", "A 20253-2025")</f>
        <v/>
      </c>
      <c r="Y25">
        <f>HYPERLINK("https://klasma.github.io/Logging_0683/kartor_geotiff/A 20253-2025 georefererad karta.tif", "A 20253-2025")</f>
        <v/>
      </c>
      <c r="AA25">
        <f>HYPERLINK("https://klasma.github.io/Logging_0683/klagomål/A 20253-2025 FSC-klagomål.docx", "A 20253-2025")</f>
        <v/>
      </c>
      <c r="AB25">
        <f>HYPERLINK("https://klasma.github.io/Logging_0683/klagomålsmail/A 20253-2025 FSC-klagomål mail.docx", "A 20253-2025")</f>
        <v/>
      </c>
      <c r="AC25">
        <f>HYPERLINK("https://klasma.github.io/Logging_0683/tillsyn/A 20253-2025 tillsynsbegäran.docx", "A 20253-2025")</f>
        <v/>
      </c>
      <c r="AD25">
        <f>HYPERLINK("https://klasma.github.io/Logging_0683/tillsynsmail/A 20253-2025 tillsynsbegäran mail.docx", "A 20253-2025")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46250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19078-2025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45766</v>
      </c>
      <c r="E27" s="1" t="n">
        <v>46250</v>
      </c>
      <c r="F27" t="inlineStr">
        <is>
          <t>JÖNKÖPINGS LÄN</t>
        </is>
      </c>
      <c r="G27" t="inlineStr">
        <is>
          <t>VÄRNAMO</t>
        </is>
      </c>
      <c r="I27" t="n">
        <v>6.4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HYPERLINK("https://klasma.github.io/Logging_0683/artfynd/A 19078-2025 artfynd.xlsx", "A 19078-2025")</f>
        <v/>
      </c>
      <c r="X27">
        <f>HYPERLINK("https://klasma.github.io/Logging_0683/kartor/A 19078-2025 karta.png", "A 19078-2025")</f>
        <v/>
      </c>
      <c r="Y27">
        <f>HYPERLINK("https://klasma.github.io/Logging_0683/kartor_geotiff/A 19078-2025 georefererad karta.tif", "A 19078-2025")</f>
        <v/>
      </c>
      <c r="Z27">
        <f>HYPERLINK("https://klasma.github.io/Logging_0683/knärot/A 19078-2025 karta knärot.png", "A 19078-2025")</f>
        <v/>
      </c>
      <c r="AA27">
        <f>HYPERLINK("https://klasma.github.io/Logging_0683/klagomål/A 19078-2025 FSC-klagomål.docx", "A 19078-2025")</f>
        <v/>
      </c>
      <c r="AB27">
        <f>HYPERLINK("https://klasma.github.io/Logging_0683/klagomålsmail/A 19078-2025 FSC-klagomål mail.docx", "A 19078-2025")</f>
        <v/>
      </c>
      <c r="AC27">
        <f>HYPERLINK("https://klasma.github.io/Logging_0683/tillsyn/A 19078-2025 tillsynsbegäran.docx", "A 19078-2025")</f>
        <v/>
      </c>
      <c r="AD27">
        <f>HYPERLINK("https://klasma.github.io/Logging_0683/tillsynsmail/A 19078-2025 tillsynsbegäran mail.docx", "A 19078-2025")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46250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37198-2024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45539</v>
      </c>
      <c r="E29" s="1" t="n">
        <v>46250</v>
      </c>
      <c r="F29" t="inlineStr">
        <is>
          <t>JÖNKÖPINGS LÄN</t>
        </is>
      </c>
      <c r="G29" t="inlineStr">
        <is>
          <t>VÄRNAMO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HYPERLINK("https://klasma.github.io/Logging_0683/artfynd/A 37198-2024 artfynd.xlsx", "A 37198-2024")</f>
        <v/>
      </c>
      <c r="X29">
        <f>HYPERLINK("https://klasma.github.io/Logging_0683/kartor/A 37198-2024 karta.png", "A 37198-2024")</f>
        <v/>
      </c>
      <c r="Y29">
        <f>HYPERLINK("https://klasma.github.io/Logging_0683/kartor_geotiff/A 37198-2024 georefererad karta.tif", "A 37198-2024")</f>
        <v/>
      </c>
      <c r="AA29">
        <f>HYPERLINK("https://klasma.github.io/Logging_0683/klagomål/A 37198-2024 FSC-klagomål.docx", "A 37198-2024")</f>
        <v/>
      </c>
      <c r="AB29">
        <f>HYPERLINK("https://klasma.github.io/Logging_0683/klagomålsmail/A 37198-2024 FSC-klagomål mail.docx", "A 37198-2024")</f>
        <v/>
      </c>
      <c r="AC29">
        <f>HYPERLINK("https://klasma.github.io/Logging_0683/tillsyn/A 37198-2024 tillsynsbegäran.docx", "A 37198-2024")</f>
        <v/>
      </c>
      <c r="AD29">
        <f>HYPERLINK("https://klasma.github.io/Logging_0683/tillsynsmail/A 37198-2024 tillsynsbegäran mail.docx", "A 37198-2024")</f>
        <v/>
      </c>
    </row>
    <row r="30" ht="15" customHeight="1">
      <c r="A30" t="inlineStr">
        <is>
          <t>A 17221-2025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45756</v>
      </c>
      <c r="E30" s="1" t="n">
        <v>46250</v>
      </c>
      <c r="F30" t="inlineStr">
        <is>
          <t>JÖNKÖPINGS LÄN</t>
        </is>
      </c>
      <c r="G30" t="inlineStr">
        <is>
          <t>VÄRNAMO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Buskskvätta</t>
        </is>
      </c>
      <c r="W30">
        <f>HYPERLINK("https://klasma.github.io/Logging_0683/artfynd/A 17221-2025 artfynd.xlsx", "A 17221-2025")</f>
        <v/>
      </c>
      <c r="X30">
        <f>HYPERLINK("https://klasma.github.io/Logging_0683/kartor/A 17221-2025 karta.png", "A 17221-2025")</f>
        <v/>
      </c>
      <c r="Y30">
        <f>HYPERLINK("https://klasma.github.io/Logging_0683/kartor_geotiff/A 17221-2025 georefererad karta.tif", "A 17221-2025")</f>
        <v/>
      </c>
      <c r="AA30">
        <f>HYPERLINK("https://klasma.github.io/Logging_0683/klagomål/A 17221-2025 FSC-klagomål.docx", "A 17221-2025")</f>
        <v/>
      </c>
      <c r="AB30">
        <f>HYPERLINK("https://klasma.github.io/Logging_0683/klagomålsmail/A 17221-2025 FSC-klagomål mail.docx", "A 17221-2025")</f>
        <v/>
      </c>
      <c r="AC30">
        <f>HYPERLINK("https://klasma.github.io/Logging_0683/tillsyn/A 17221-2025 tillsynsbegäran.docx", "A 17221-2025")</f>
        <v/>
      </c>
      <c r="AD30">
        <f>HYPERLINK("https://klasma.github.io/Logging_0683/tillsynsmail/A 17221-2025 tillsynsbegäran mail.docx", "A 17221-2025")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46250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9986-2023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44979</v>
      </c>
      <c r="E32" s="1" t="n">
        <v>46250</v>
      </c>
      <c r="F32" t="inlineStr">
        <is>
          <t>JÖNKÖPINGS LÄN</t>
        </is>
      </c>
      <c r="G32" t="inlineStr">
        <is>
          <t>VÄRNAMO</t>
        </is>
      </c>
      <c r="I32" t="n">
        <v>4.1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HYPERLINK("https://klasma.github.io/Logging_0683/artfynd/A 9986-2023 artfynd.xlsx", "A 9986-2023")</f>
        <v/>
      </c>
      <c r="X32">
        <f>HYPERLINK("https://klasma.github.io/Logging_0683/kartor/A 9986-2023 karta.png", "A 9986-2023")</f>
        <v/>
      </c>
      <c r="Y32">
        <f>HYPERLINK("https://klasma.github.io/Logging_0683/kartor_geotiff/A 9986-2023 georefererad karta.tif", "A 9986-2023")</f>
        <v/>
      </c>
      <c r="AA32">
        <f>HYPERLINK("https://klasma.github.io/Logging_0683/klagomål/A 9986-2023 FSC-klagomål.docx", "A 9986-2023")</f>
        <v/>
      </c>
      <c r="AB32">
        <f>HYPERLINK("https://klasma.github.io/Logging_0683/klagomålsmail/A 9986-2023 FSC-klagomål mail.docx", "A 9986-2023")</f>
        <v/>
      </c>
      <c r="AC32">
        <f>HYPERLINK("https://klasma.github.io/Logging_0683/tillsyn/A 9986-2023 tillsynsbegäran.docx", "A 9986-2023")</f>
        <v/>
      </c>
      <c r="AD32">
        <f>HYPERLINK("https://klasma.github.io/Logging_0683/tillsynsmail/A 9986-2023 tillsynsbegäran mail.docx", "A 9986-2023")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46250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46250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46250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33366-2025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46250</v>
      </c>
      <c r="F36" t="inlineStr">
        <is>
          <t>JÖNKÖPINGS LÄN</t>
        </is>
      </c>
      <c r="G36" t="inlineStr">
        <is>
          <t>VÄRNAMO</t>
        </is>
      </c>
      <c r="I36" t="n">
        <v>5.7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Strandlummer</t>
        </is>
      </c>
      <c r="W36">
        <f>HYPERLINK("https://klasma.github.io/Logging_0683/artfynd/A 33366-2025 artfynd.xlsx", "A 33366-2025")</f>
        <v/>
      </c>
      <c r="X36">
        <f>HYPERLINK("https://klasma.github.io/Logging_0683/kartor/A 33366-2025 karta.png", "A 33366-2025")</f>
        <v/>
      </c>
      <c r="Y36">
        <f>HYPERLINK("https://klasma.github.io/Logging_0683/kartor_geotiff/A 33366-2025 georefererad karta.tif", "A 33366-2025")</f>
        <v/>
      </c>
      <c r="AA36">
        <f>HYPERLINK("https://klasma.github.io/Logging_0683/klagomål/A 33366-2025 FSC-klagomål.docx", "A 33366-2025")</f>
        <v/>
      </c>
      <c r="AB36">
        <f>HYPERLINK("https://klasma.github.io/Logging_0683/klagomålsmail/A 33366-2025 FSC-klagomål mail.docx", "A 33366-2025")</f>
        <v/>
      </c>
      <c r="AC36">
        <f>HYPERLINK("https://klasma.github.io/Logging_0683/tillsyn/A 33366-2025 tillsynsbegäran.docx", "A 33366-2025")</f>
        <v/>
      </c>
      <c r="AD36">
        <f>HYPERLINK("https://klasma.github.io/Logging_0683/tillsynsmail/A 33366-2025 tillsynsbegäran mail.docx", "A 33366-2025")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46250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46250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46250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46250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46250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46250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46250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46250</v>
      </c>
      <c r="F44" t="inlineStr">
        <is>
          <t>JÖNKÖPINGS LÄN</t>
        </is>
      </c>
      <c r="G44" t="inlineStr">
        <is>
          <t>VÄRNAMO</t>
        </is>
      </c>
      <c r="H44" t="inlineStr">
        <is>
          <t>Kyrkan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46250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46250</v>
      </c>
      <c r="F46" t="inlineStr">
        <is>
          <t>JÖNKÖPINGS LÄN</t>
        </is>
      </c>
      <c r="G46" t="inlineStr">
        <is>
          <t>VÄRNAMO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46250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46250</v>
      </c>
      <c r="F48" t="inlineStr">
        <is>
          <t>JÖNKÖPINGS LÄN</t>
        </is>
      </c>
      <c r="G48" t="inlineStr">
        <is>
          <t>VÄRNAMO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50519-2021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46250</v>
      </c>
      <c r="F49" t="inlineStr">
        <is>
          <t>JÖNKÖPINGS LÄN</t>
        </is>
      </c>
      <c r="G49" t="inlineStr">
        <is>
          <t>VÄRNAMO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46250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46250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46250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47313-2022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46250</v>
      </c>
      <c r="F53" t="inlineStr">
        <is>
          <t>JÖNKÖPINGS LÄN</t>
        </is>
      </c>
      <c r="G53" t="inlineStr">
        <is>
          <t>VÄRNAMO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46250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46250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46250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46250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46250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46250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46250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46250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46250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46250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46250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46250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46250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46250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46250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46250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46250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46250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44434</v>
      </c>
      <c r="E72" s="1" t="n">
        <v>46250</v>
      </c>
      <c r="F72" t="inlineStr">
        <is>
          <t>JÖNKÖPINGS LÄN</t>
        </is>
      </c>
      <c r="G72" t="inlineStr">
        <is>
          <t>VÄRNAMO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46250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46250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46250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46250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46250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44427</v>
      </c>
      <c r="E78" s="1" t="n">
        <v>46250</v>
      </c>
      <c r="F78" t="inlineStr">
        <is>
          <t>JÖNKÖPINGS LÄN</t>
        </is>
      </c>
      <c r="G78" t="inlineStr">
        <is>
          <t>VÄRNAMO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46250</v>
      </c>
      <c r="F79" t="inlineStr">
        <is>
          <t>JÖNKÖPINGS LÄN</t>
        </is>
      </c>
      <c r="G79" t="inlineStr">
        <is>
          <t>VÄRNAMO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44473</v>
      </c>
      <c r="E80" s="1" t="n">
        <v>46250</v>
      </c>
      <c r="F80" t="inlineStr">
        <is>
          <t>JÖNKÖPINGS LÄN</t>
        </is>
      </c>
      <c r="G80" t="inlineStr">
        <is>
          <t>VÄRNAMO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71848-2021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44539</v>
      </c>
      <c r="E81" s="1" t="n">
        <v>46250</v>
      </c>
      <c r="F81" t="inlineStr">
        <is>
          <t>JÖNKÖPINGS LÄN</t>
        </is>
      </c>
      <c r="G81" t="inlineStr">
        <is>
          <t>VÄRNAMO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46250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46250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46250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46250</v>
      </c>
      <c r="F85" t="inlineStr">
        <is>
          <t>JÖNKÖPINGS LÄN</t>
        </is>
      </c>
      <c r="G85" t="inlineStr">
        <is>
          <t>VÄRNAMO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46250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46250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46250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46250</v>
      </c>
      <c r="F89" t="inlineStr">
        <is>
          <t>JÖNKÖPINGS LÄN</t>
        </is>
      </c>
      <c r="G89" t="inlineStr">
        <is>
          <t>VÄRNAMO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74127-2021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44557</v>
      </c>
      <c r="E90" s="1" t="n">
        <v>46250</v>
      </c>
      <c r="F90" t="inlineStr">
        <is>
          <t>JÖNKÖPINGS LÄN</t>
        </is>
      </c>
      <c r="G90" t="inlineStr">
        <is>
          <t>VÄRNAMO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48131-2021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44449</v>
      </c>
      <c r="E91" s="1" t="n">
        <v>46250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46250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67881-2021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46250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46250</v>
      </c>
      <c r="F94" t="inlineStr">
        <is>
          <t>JÖNKÖPINGS LÄN</t>
        </is>
      </c>
      <c r="G94" t="inlineStr">
        <is>
          <t>VÄRNAMO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46250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46250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46250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46250</v>
      </c>
      <c r="F98" t="inlineStr">
        <is>
          <t>JÖNKÖPINGS LÄN</t>
        </is>
      </c>
      <c r="G98" t="inlineStr">
        <is>
          <t>VÄRNAMO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46250</v>
      </c>
      <c r="F99" t="inlineStr">
        <is>
          <t>JÖNKÖPINGS LÄN</t>
        </is>
      </c>
      <c r="G99" t="inlineStr">
        <is>
          <t>VÄRNAMO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46250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46250</v>
      </c>
      <c r="F101" t="inlineStr">
        <is>
          <t>JÖNKÖPINGS LÄN</t>
        </is>
      </c>
      <c r="G101" t="inlineStr">
        <is>
          <t>VÄRNAMO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46250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46250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45194</v>
      </c>
      <c r="E104" s="1" t="n">
        <v>46250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46250</v>
      </c>
      <c r="F105" t="inlineStr">
        <is>
          <t>JÖNKÖPINGS LÄN</t>
        </is>
      </c>
      <c r="G105" t="inlineStr">
        <is>
          <t>VÄRNAMO</t>
        </is>
      </c>
      <c r="H105" t="inlineStr">
        <is>
          <t>Kyrkan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46250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45688</v>
      </c>
      <c r="E107" s="1" t="n">
        <v>46250</v>
      </c>
      <c r="F107" t="inlineStr">
        <is>
          <t>JÖNKÖPINGS LÄN</t>
        </is>
      </c>
      <c r="G107" t="inlineStr">
        <is>
          <t>VÄRNAMO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44757</v>
      </c>
      <c r="E108" s="1" t="n">
        <v>46250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46250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46250</v>
      </c>
      <c r="F110" t="inlineStr">
        <is>
          <t>JÖNKÖPINGS LÄN</t>
        </is>
      </c>
      <c r="G110" t="inlineStr">
        <is>
          <t>VÄRNAMO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44854</v>
      </c>
      <c r="E111" s="1" t="n">
        <v>46250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47664-2021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46250</v>
      </c>
      <c r="F112" t="inlineStr">
        <is>
          <t>JÖNKÖPINGS LÄN</t>
        </is>
      </c>
      <c r="G112" t="inlineStr">
        <is>
          <t>VÄRNAMO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46250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44851</v>
      </c>
      <c r="E114" s="1" t="n">
        <v>46250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45278</v>
      </c>
      <c r="E115" s="1" t="n">
        <v>46250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46250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44853</v>
      </c>
      <c r="E117" s="1" t="n">
        <v>46250</v>
      </c>
      <c r="F117" t="inlineStr">
        <is>
          <t>JÖNKÖPINGS LÄN</t>
        </is>
      </c>
      <c r="G117" t="inlineStr">
        <is>
          <t>VÄRNAMO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46250</v>
      </c>
      <c r="F118" t="inlineStr">
        <is>
          <t>JÖNKÖPINGS LÄN</t>
        </is>
      </c>
      <c r="G118" t="inlineStr">
        <is>
          <t>VÄRNAMO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46250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46250</v>
      </c>
      <c r="F120" t="inlineStr">
        <is>
          <t>JÖNKÖPINGS LÄN</t>
        </is>
      </c>
      <c r="G120" t="inlineStr">
        <is>
          <t>VÄRNAMO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46250</v>
      </c>
      <c r="F121" t="inlineStr">
        <is>
          <t>JÖNKÖPINGS LÄN</t>
        </is>
      </c>
      <c r="G121" t="inlineStr">
        <is>
          <t>VÄRNAMO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46250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46250</v>
      </c>
      <c r="F123" t="inlineStr">
        <is>
          <t>JÖNKÖPINGS LÄN</t>
        </is>
      </c>
      <c r="G123" t="inlineStr">
        <is>
          <t>VÄRNAMO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46250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46250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44662</v>
      </c>
      <c r="E126" s="1" t="n">
        <v>46250</v>
      </c>
      <c r="F126" t="inlineStr">
        <is>
          <t>JÖNKÖPINGS LÄN</t>
        </is>
      </c>
      <c r="G126" t="inlineStr">
        <is>
          <t>VÄRNAMO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46250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46250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46250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46250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46250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71233-2021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46250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44909</v>
      </c>
      <c r="E133" s="1" t="n">
        <v>46250</v>
      </c>
      <c r="F133" t="inlineStr">
        <is>
          <t>JÖNKÖPINGS LÄN</t>
        </is>
      </c>
      <c r="G133" t="inlineStr">
        <is>
          <t>VÄRNAMO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44425</v>
      </c>
      <c r="E134" s="1" t="n">
        <v>46250</v>
      </c>
      <c r="F134" t="inlineStr">
        <is>
          <t>JÖNKÖPINGS LÄN</t>
        </is>
      </c>
      <c r="G134" t="inlineStr">
        <is>
          <t>VÄRNAMO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46250</v>
      </c>
      <c r="F135" t="inlineStr">
        <is>
          <t>JÖNKÖPINGS LÄN</t>
        </is>
      </c>
      <c r="G135" t="inlineStr">
        <is>
          <t>VÄRNAMO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46250</v>
      </c>
      <c r="F136" t="inlineStr">
        <is>
          <t>JÖNKÖPINGS LÄN</t>
        </is>
      </c>
      <c r="G136" t="inlineStr">
        <is>
          <t>VÄRNAMO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46250</v>
      </c>
      <c r="F137" t="inlineStr">
        <is>
          <t>JÖNKÖPINGS LÄN</t>
        </is>
      </c>
      <c r="G137" t="inlineStr">
        <is>
          <t>VÄRNAMO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46250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46250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46250</v>
      </c>
      <c r="F140" t="inlineStr">
        <is>
          <t>JÖNKÖPINGS LÄN</t>
        </is>
      </c>
      <c r="G140" t="inlineStr">
        <is>
          <t>VÄRNAMO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46250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46250</v>
      </c>
      <c r="F142" t="inlineStr">
        <is>
          <t>JÖNKÖPINGS LÄN</t>
        </is>
      </c>
      <c r="G142" t="inlineStr">
        <is>
          <t>VÄRNAMO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46250</v>
      </c>
      <c r="F143" t="inlineStr">
        <is>
          <t>JÖNKÖPINGS LÄN</t>
        </is>
      </c>
      <c r="G143" t="inlineStr">
        <is>
          <t>VÄRNAMO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46250</v>
      </c>
      <c r="F144" t="inlineStr">
        <is>
          <t>JÖNKÖPINGS LÄN</t>
        </is>
      </c>
      <c r="G144" t="inlineStr">
        <is>
          <t>VÄRNAMO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46250</v>
      </c>
      <c r="F145" t="inlineStr">
        <is>
          <t>JÖNKÖPINGS LÄN</t>
        </is>
      </c>
      <c r="G145" t="inlineStr">
        <is>
          <t>VÄRNAMO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46250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46250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46250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46250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40486-2022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44823</v>
      </c>
      <c r="E150" s="1" t="n">
        <v>46250</v>
      </c>
      <c r="F150" t="inlineStr">
        <is>
          <t>JÖNKÖPINGS LÄN</t>
        </is>
      </c>
      <c r="G150" t="inlineStr">
        <is>
          <t>VÄRNAMO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46250</v>
      </c>
      <c r="F151" t="inlineStr">
        <is>
          <t>JÖNKÖPINGS LÄN</t>
        </is>
      </c>
      <c r="G151" t="inlineStr">
        <is>
          <t>VÄRNAMO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46250</v>
      </c>
      <c r="F152" t="inlineStr">
        <is>
          <t>JÖNKÖPINGS LÄN</t>
        </is>
      </c>
      <c r="G152" t="inlineStr">
        <is>
          <t>VÄRNAMO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45221</v>
      </c>
      <c r="E153" s="1" t="n">
        <v>46250</v>
      </c>
      <c r="F153" t="inlineStr">
        <is>
          <t>JÖNKÖPINGS LÄN</t>
        </is>
      </c>
      <c r="G153" t="inlineStr">
        <is>
          <t>VÄRNAMO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46250</v>
      </c>
      <c r="F154" t="inlineStr">
        <is>
          <t>JÖNKÖPINGS LÄN</t>
        </is>
      </c>
      <c r="G154" t="inlineStr">
        <is>
          <t>VÄRNAMO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46250</v>
      </c>
      <c r="F155" t="inlineStr">
        <is>
          <t>JÖNKÖPINGS LÄN</t>
        </is>
      </c>
      <c r="G155" t="inlineStr">
        <is>
          <t>VÄRNAMO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46250</v>
      </c>
      <c r="F156" t="inlineStr">
        <is>
          <t>JÖNKÖPINGS LÄN</t>
        </is>
      </c>
      <c r="G156" t="inlineStr">
        <is>
          <t>VÄRNAMO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45324</v>
      </c>
      <c r="E157" s="1" t="n">
        <v>46250</v>
      </c>
      <c r="F157" t="inlineStr">
        <is>
          <t>JÖNKÖPINGS LÄN</t>
        </is>
      </c>
      <c r="G157" t="inlineStr">
        <is>
          <t>VÄRNAMO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46250</v>
      </c>
      <c r="F158" t="inlineStr">
        <is>
          <t>JÖNKÖPINGS LÄN</t>
        </is>
      </c>
      <c r="G158" t="inlineStr">
        <is>
          <t>VÄRNAMO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46250</v>
      </c>
      <c r="F159" t="inlineStr">
        <is>
          <t>JÖNKÖPINGS LÄN</t>
        </is>
      </c>
      <c r="G159" t="inlineStr">
        <is>
          <t>VÄRNAMO</t>
        </is>
      </c>
      <c r="H159" t="inlineStr">
        <is>
          <t>Kommuner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54000-2021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46250</v>
      </c>
      <c r="F160" t="inlineStr">
        <is>
          <t>JÖNKÖPINGS LÄN</t>
        </is>
      </c>
      <c r="G160" t="inlineStr">
        <is>
          <t>VÄRNAMO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46250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46250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46250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44981</v>
      </c>
      <c r="E164" s="1" t="n">
        <v>46250</v>
      </c>
      <c r="F164" t="inlineStr">
        <is>
          <t>JÖNKÖPINGS LÄN</t>
        </is>
      </c>
      <c r="G164" t="inlineStr">
        <is>
          <t>VÄRNAMO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46250</v>
      </c>
      <c r="F165" t="inlineStr">
        <is>
          <t>JÖNKÖPINGS LÄN</t>
        </is>
      </c>
      <c r="G165" t="inlineStr">
        <is>
          <t>VÄRNAMO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46250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46250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46250</v>
      </c>
      <c r="F168" t="inlineStr">
        <is>
          <t>JÖNKÖPINGS LÄN</t>
        </is>
      </c>
      <c r="G168" t="inlineStr">
        <is>
          <t>VÄRNAMO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45401</v>
      </c>
      <c r="E169" s="1" t="n">
        <v>46250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46250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46250</v>
      </c>
      <c r="F171" t="inlineStr">
        <is>
          <t>JÖNKÖPINGS LÄN</t>
        </is>
      </c>
      <c r="G171" t="inlineStr">
        <is>
          <t>VÄRNAMO</t>
        </is>
      </c>
      <c r="H171" t="inlineStr">
        <is>
          <t>Övriga Aktiebolag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46250</v>
      </c>
      <c r="F172" t="inlineStr">
        <is>
          <t>JÖNKÖPINGS LÄN</t>
        </is>
      </c>
      <c r="G172" t="inlineStr">
        <is>
          <t>VÄRNAMO</t>
        </is>
      </c>
      <c r="H172" t="inlineStr">
        <is>
          <t>Övriga Aktiebolag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45069</v>
      </c>
      <c r="E173" s="1" t="n">
        <v>46250</v>
      </c>
      <c r="F173" t="inlineStr">
        <is>
          <t>JÖNKÖPINGS LÄN</t>
        </is>
      </c>
      <c r="G173" t="inlineStr">
        <is>
          <t>VÄRNAMO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46080</v>
      </c>
      <c r="E174" s="1" t="n">
        <v>46250</v>
      </c>
      <c r="F174" t="inlineStr">
        <is>
          <t>JÖNKÖPINGS LÄN</t>
        </is>
      </c>
      <c r="G174" t="inlineStr">
        <is>
          <t>VÄRNAMO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46080</v>
      </c>
      <c r="E175" s="1" t="n">
        <v>46250</v>
      </c>
      <c r="F175" t="inlineStr">
        <is>
          <t>JÖNKÖPINGS LÄN</t>
        </is>
      </c>
      <c r="G175" t="inlineStr">
        <is>
          <t>VÄRNAMO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46250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46250</v>
      </c>
      <c r="F177" t="inlineStr">
        <is>
          <t>JÖNKÖPINGS LÄN</t>
        </is>
      </c>
      <c r="G177" t="inlineStr">
        <is>
          <t>VÄRNAMO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46250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46250</v>
      </c>
      <c r="F179" t="inlineStr">
        <is>
          <t>JÖNKÖPINGS LÄN</t>
        </is>
      </c>
      <c r="G179" t="inlineStr">
        <is>
          <t>VÄRNAMO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46250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46250</v>
      </c>
      <c r="F181" t="inlineStr">
        <is>
          <t>JÖNKÖPINGS LÄN</t>
        </is>
      </c>
      <c r="G181" t="inlineStr">
        <is>
          <t>VÄRNAMO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46250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46250</v>
      </c>
      <c r="F183" t="inlineStr">
        <is>
          <t>JÖNKÖPINGS LÄN</t>
        </is>
      </c>
      <c r="G183" t="inlineStr">
        <is>
          <t>VÄRNAMO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46250</v>
      </c>
      <c r="F184" t="inlineStr">
        <is>
          <t>JÖNKÖPINGS LÄN</t>
        </is>
      </c>
      <c r="G184" t="inlineStr">
        <is>
          <t>VÄRNAMO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46250</v>
      </c>
      <c r="F185" t="inlineStr">
        <is>
          <t>JÖNKÖPINGS LÄN</t>
        </is>
      </c>
      <c r="G185" t="inlineStr">
        <is>
          <t>VÄRNAMO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46250</v>
      </c>
      <c r="F186" t="inlineStr">
        <is>
          <t>JÖNKÖPINGS LÄN</t>
        </is>
      </c>
      <c r="G186" t="inlineStr">
        <is>
          <t>VÄRNAMO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46250</v>
      </c>
      <c r="F187" t="inlineStr">
        <is>
          <t>JÖNKÖPINGS LÄN</t>
        </is>
      </c>
      <c r="G187" t="inlineStr">
        <is>
          <t>VÄRNAMO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8968-2024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45357</v>
      </c>
      <c r="E188" s="1" t="n">
        <v>46250</v>
      </c>
      <c r="F188" t="inlineStr">
        <is>
          <t>JÖNKÖPINGS LÄN</t>
        </is>
      </c>
      <c r="G188" t="inlineStr">
        <is>
          <t>VÄRNAMO</t>
        </is>
      </c>
      <c r="H188" t="inlineStr">
        <is>
          <t>Sveaskog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46250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46250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12095-2026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46086</v>
      </c>
      <c r="E191" s="1" t="n">
        <v>46250</v>
      </c>
      <c r="F191" t="inlineStr">
        <is>
          <t>JÖNKÖPINGS LÄN</t>
        </is>
      </c>
      <c r="G191" t="inlineStr">
        <is>
          <t>VÄRNAMO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74102-2021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44557</v>
      </c>
      <c r="E192" s="1" t="n">
        <v>46250</v>
      </c>
      <c r="F192" t="inlineStr">
        <is>
          <t>JÖNKÖPINGS LÄN</t>
        </is>
      </c>
      <c r="G192" t="inlineStr">
        <is>
          <t>VÄRNAMO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46250</v>
      </c>
      <c r="F193" t="inlineStr">
        <is>
          <t>JÖNKÖPINGS LÄN</t>
        </is>
      </c>
      <c r="G193" t="inlineStr">
        <is>
          <t>VÄRNAMO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46250</v>
      </c>
      <c r="F194" t="inlineStr">
        <is>
          <t>JÖNKÖPINGS LÄN</t>
        </is>
      </c>
      <c r="G194" t="inlineStr">
        <is>
          <t>VÄRNAMO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46250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48697-2022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46250</v>
      </c>
      <c r="F196" t="inlineStr">
        <is>
          <t>JÖNKÖPINGS LÄN</t>
        </is>
      </c>
      <c r="G196" t="inlineStr">
        <is>
          <t>VÄRNAMO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46250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46250</v>
      </c>
      <c r="F198" t="inlineStr">
        <is>
          <t>JÖNKÖPINGS LÄN</t>
        </is>
      </c>
      <c r="G198" t="inlineStr">
        <is>
          <t>VÄRNAMO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46250</v>
      </c>
      <c r="F199" t="inlineStr">
        <is>
          <t>JÖNKÖPINGS LÄN</t>
        </is>
      </c>
      <c r="G199" t="inlineStr">
        <is>
          <t>VÄRNAMO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46250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64002-2023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45278</v>
      </c>
      <c r="E201" s="1" t="n">
        <v>46250</v>
      </c>
      <c r="F201" t="inlineStr">
        <is>
          <t>JÖNKÖPINGS LÄN</t>
        </is>
      </c>
      <c r="G201" t="inlineStr">
        <is>
          <t>VÄRNAMO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46250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44998</v>
      </c>
      <c r="E203" s="1" t="n">
        <v>46250</v>
      </c>
      <c r="F203" t="inlineStr">
        <is>
          <t>JÖNKÖPINGS LÄN</t>
        </is>
      </c>
      <c r="G203" t="inlineStr">
        <is>
          <t>VÄRNAMO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46250</v>
      </c>
      <c r="F204" t="inlineStr">
        <is>
          <t>JÖNKÖPINGS LÄN</t>
        </is>
      </c>
      <c r="G204" t="inlineStr">
        <is>
          <t>VÄRNAMO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46250</v>
      </c>
      <c r="F205" t="inlineStr">
        <is>
          <t>JÖNKÖPINGS LÄN</t>
        </is>
      </c>
      <c r="G205" t="inlineStr">
        <is>
          <t>VÄRNAMO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46250</v>
      </c>
      <c r="F206" t="inlineStr">
        <is>
          <t>JÖNKÖPINGS LÄN</t>
        </is>
      </c>
      <c r="G206" t="inlineStr">
        <is>
          <t>VÄRNAMO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46250</v>
      </c>
      <c r="F207" t="inlineStr">
        <is>
          <t>JÖNKÖPINGS LÄN</t>
        </is>
      </c>
      <c r="G207" t="inlineStr">
        <is>
          <t>VÄRNAMO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46250</v>
      </c>
      <c r="F208" t="inlineStr">
        <is>
          <t>JÖNKÖPINGS LÄN</t>
        </is>
      </c>
      <c r="G208" t="inlineStr">
        <is>
          <t>VÄRNAMO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46250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45509</v>
      </c>
      <c r="E210" s="1" t="n">
        <v>46250</v>
      </c>
      <c r="F210" t="inlineStr">
        <is>
          <t>JÖNKÖPINGS LÄN</t>
        </is>
      </c>
      <c r="G210" t="inlineStr">
        <is>
          <t>VÄRNAMO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74026-2021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44553</v>
      </c>
      <c r="E211" s="1" t="n">
        <v>46250</v>
      </c>
      <c r="F211" t="inlineStr">
        <is>
          <t>JÖNKÖPINGS LÄN</t>
        </is>
      </c>
      <c r="G211" t="inlineStr">
        <is>
          <t>VÄRNAMO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74027-2021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44553</v>
      </c>
      <c r="E212" s="1" t="n">
        <v>46250</v>
      </c>
      <c r="F212" t="inlineStr">
        <is>
          <t>JÖNKÖPINGS LÄN</t>
        </is>
      </c>
      <c r="G212" t="inlineStr">
        <is>
          <t>VÄRNAMO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46250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46250</v>
      </c>
      <c r="F214" t="inlineStr">
        <is>
          <t>JÖNKÖPINGS LÄN</t>
        </is>
      </c>
      <c r="G214" t="inlineStr">
        <is>
          <t>VÄRNAMO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46250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46250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46250</v>
      </c>
      <c r="F217" t="inlineStr">
        <is>
          <t>JÖNKÖPINGS LÄN</t>
        </is>
      </c>
      <c r="G217" t="inlineStr">
        <is>
          <t>VÄRNAMO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46250</v>
      </c>
      <c r="F218" t="inlineStr">
        <is>
          <t>JÖNKÖPINGS LÄN</t>
        </is>
      </c>
      <c r="G218" t="inlineStr">
        <is>
          <t>VÄRNAMO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45217</v>
      </c>
      <c r="E219" s="1" t="n">
        <v>46250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53473-2025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45959</v>
      </c>
      <c r="E220" s="1" t="n">
        <v>46250</v>
      </c>
      <c r="F220" t="inlineStr">
        <is>
          <t>JÖNKÖPINGS LÄN</t>
        </is>
      </c>
      <c r="G220" t="inlineStr">
        <is>
          <t>VÄRNAMO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46250</v>
      </c>
      <c r="F221" t="inlineStr">
        <is>
          <t>JÖNKÖPINGS LÄN</t>
        </is>
      </c>
      <c r="G221" t="inlineStr">
        <is>
          <t>VÄRNAMO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45302</v>
      </c>
      <c r="E222" s="1" t="n">
        <v>46250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46250</v>
      </c>
      <c r="F223" t="inlineStr">
        <is>
          <t>JÖNKÖPINGS LÄN</t>
        </is>
      </c>
      <c r="G223" t="inlineStr">
        <is>
          <t>VÄRNAMO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46250</v>
      </c>
      <c r="F224" t="inlineStr">
        <is>
          <t>JÖNKÖPINGS LÄN</t>
        </is>
      </c>
      <c r="G224" t="inlineStr">
        <is>
          <t>VÄRNAMO</t>
        </is>
      </c>
      <c r="H224" t="inlineStr">
        <is>
          <t>Kommuner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46250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46250</v>
      </c>
      <c r="F226" t="inlineStr">
        <is>
          <t>JÖNKÖPINGS LÄN</t>
        </is>
      </c>
      <c r="G226" t="inlineStr">
        <is>
          <t>VÄRNAMO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53533-2023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45223</v>
      </c>
      <c r="E227" s="1" t="n">
        <v>46250</v>
      </c>
      <c r="F227" t="inlineStr">
        <is>
          <t>JÖNKÖPINGS LÄN</t>
        </is>
      </c>
      <c r="G227" t="inlineStr">
        <is>
          <t>VÄRNAMO</t>
        </is>
      </c>
      <c r="H227" t="inlineStr">
        <is>
          <t>Kyrkan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46250</v>
      </c>
      <c r="F228" t="inlineStr">
        <is>
          <t>JÖNKÖPINGS LÄN</t>
        </is>
      </c>
      <c r="G228" t="inlineStr">
        <is>
          <t>VÄRNAMO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46250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46250</v>
      </c>
      <c r="F230" t="inlineStr">
        <is>
          <t>JÖNKÖPINGS LÄN</t>
        </is>
      </c>
      <c r="G230" t="inlineStr">
        <is>
          <t>VÄRNAMO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46468-2023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46250</v>
      </c>
      <c r="F231" t="inlineStr">
        <is>
          <t>JÖNKÖPINGS LÄN</t>
        </is>
      </c>
      <c r="G231" t="inlineStr">
        <is>
          <t>VÄRNAMO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46250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46250</v>
      </c>
      <c r="F233" t="inlineStr">
        <is>
          <t>JÖNKÖPINGS LÄN</t>
        </is>
      </c>
      <c r="G233" t="inlineStr">
        <is>
          <t>VÄRNAMO</t>
        </is>
      </c>
      <c r="H233" t="inlineStr">
        <is>
          <t>Kommuner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46250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46250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46250</v>
      </c>
      <c r="F236" t="inlineStr">
        <is>
          <t>JÖNKÖPINGS LÄN</t>
        </is>
      </c>
      <c r="G236" t="inlineStr">
        <is>
          <t>VÄRNAMO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46250</v>
      </c>
      <c r="F237" t="inlineStr">
        <is>
          <t>JÖNKÖPINGS LÄN</t>
        </is>
      </c>
      <c r="G237" t="inlineStr">
        <is>
          <t>VÄRNAMO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46250</v>
      </c>
      <c r="F238" t="inlineStr">
        <is>
          <t>JÖNKÖPINGS LÄN</t>
        </is>
      </c>
      <c r="G238" t="inlineStr">
        <is>
          <t>VÄRNAMO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45558</v>
      </c>
      <c r="E239" s="1" t="n">
        <v>46250</v>
      </c>
      <c r="F239" t="inlineStr">
        <is>
          <t>JÖNKÖPINGS LÄN</t>
        </is>
      </c>
      <c r="G239" t="inlineStr">
        <is>
          <t>VÄRNAMO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46250</v>
      </c>
      <c r="F240" t="inlineStr">
        <is>
          <t>JÖNKÖPINGS LÄN</t>
        </is>
      </c>
      <c r="G240" t="inlineStr">
        <is>
          <t>VÄRNAMO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46250</v>
      </c>
      <c r="F241" t="inlineStr">
        <is>
          <t>JÖNKÖPINGS LÄN</t>
        </is>
      </c>
      <c r="G241" t="inlineStr">
        <is>
          <t>VÄRNAMO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14698-2026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46101</v>
      </c>
      <c r="E242" s="1" t="n">
        <v>46250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46250</v>
      </c>
      <c r="F243" t="inlineStr">
        <is>
          <t>JÖNKÖPINGS LÄN</t>
        </is>
      </c>
      <c r="G243" t="inlineStr">
        <is>
          <t>VÄRNAMO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46250</v>
      </c>
      <c r="F244" t="inlineStr">
        <is>
          <t>JÖNKÖPINGS LÄN</t>
        </is>
      </c>
      <c r="G244" t="inlineStr">
        <is>
          <t>VÄRNAMO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54703-2025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46250</v>
      </c>
      <c r="F245" t="inlineStr">
        <is>
          <t>JÖNKÖPINGS LÄN</t>
        </is>
      </c>
      <c r="G245" t="inlineStr">
        <is>
          <t>VÄRNAMO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46250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46250</v>
      </c>
      <c r="F247" t="inlineStr">
        <is>
          <t>JÖNKÖPINGS LÄN</t>
        </is>
      </c>
      <c r="G247" t="inlineStr">
        <is>
          <t>VÄRNAMO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46250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45394</v>
      </c>
      <c r="E249" s="1" t="n">
        <v>46250</v>
      </c>
      <c r="F249" t="inlineStr">
        <is>
          <t>JÖNKÖPINGS LÄN</t>
        </is>
      </c>
      <c r="G249" t="inlineStr">
        <is>
          <t>VÄRNAMO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46250</v>
      </c>
      <c r="F250" t="inlineStr">
        <is>
          <t>JÖNKÖPINGS LÄN</t>
        </is>
      </c>
      <c r="G250" t="inlineStr">
        <is>
          <t>VÄRNAMO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46250</v>
      </c>
      <c r="F251" t="inlineStr">
        <is>
          <t>JÖNKÖPINGS LÄN</t>
        </is>
      </c>
      <c r="G251" t="inlineStr">
        <is>
          <t>VÄRNAMO</t>
        </is>
      </c>
      <c r="H251" t="inlineStr">
        <is>
          <t>Kommuner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46250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46250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46250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44470</v>
      </c>
      <c r="E255" s="1" t="n">
        <v>46250</v>
      </c>
      <c r="F255" t="inlineStr">
        <is>
          <t>JÖNKÖPINGS LÄN</t>
        </is>
      </c>
      <c r="G255" t="inlineStr">
        <is>
          <t>VÄRNAMO</t>
        </is>
      </c>
      <c r="H255" t="inlineStr">
        <is>
          <t>Övriga Aktiebolag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46250</v>
      </c>
      <c r="F256" t="inlineStr">
        <is>
          <t>JÖNKÖPINGS LÄN</t>
        </is>
      </c>
      <c r="G256" t="inlineStr">
        <is>
          <t>VÄRNAMO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46250</v>
      </c>
      <c r="F257" t="inlineStr">
        <is>
          <t>JÖNKÖPINGS LÄN</t>
        </is>
      </c>
      <c r="G257" t="inlineStr">
        <is>
          <t>VÄRNAMO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46250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46250</v>
      </c>
      <c r="F259" t="inlineStr">
        <is>
          <t>JÖNKÖPINGS LÄN</t>
        </is>
      </c>
      <c r="G259" t="inlineStr">
        <is>
          <t>VÄRNAMO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44445</v>
      </c>
      <c r="E260" s="1" t="n">
        <v>46250</v>
      </c>
      <c r="F260" t="inlineStr">
        <is>
          <t>JÖNKÖPINGS LÄN</t>
        </is>
      </c>
      <c r="G260" t="inlineStr">
        <is>
          <t>VÄRNAMO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46250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44652</v>
      </c>
      <c r="E262" s="1" t="n">
        <v>46250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45772</v>
      </c>
      <c r="E263" s="1" t="n">
        <v>46250</v>
      </c>
      <c r="F263" t="inlineStr">
        <is>
          <t>JÖNKÖPINGS LÄN</t>
        </is>
      </c>
      <c r="G263" t="inlineStr">
        <is>
          <t>VÄRNAMO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46250</v>
      </c>
      <c r="F264" t="inlineStr">
        <is>
          <t>JÖNKÖPINGS LÄN</t>
        </is>
      </c>
      <c r="G264" t="inlineStr">
        <is>
          <t>VÄRNAMO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15101-2026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46101</v>
      </c>
      <c r="E265" s="1" t="n">
        <v>46250</v>
      </c>
      <c r="F265" t="inlineStr">
        <is>
          <t>JÖNKÖPINGS LÄN</t>
        </is>
      </c>
      <c r="G265" t="inlineStr">
        <is>
          <t>VÄRNAMO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46250</v>
      </c>
      <c r="F266" t="inlineStr">
        <is>
          <t>JÖNKÖPINGS LÄN</t>
        </is>
      </c>
      <c r="G266" t="inlineStr">
        <is>
          <t>VÄRNAMO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46250</v>
      </c>
      <c r="F267" t="inlineStr">
        <is>
          <t>JÖNKÖPINGS LÄN</t>
        </is>
      </c>
      <c r="G267" t="inlineStr">
        <is>
          <t>VÄRNAMO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46250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46250</v>
      </c>
      <c r="F269" t="inlineStr">
        <is>
          <t>JÖNKÖPINGS LÄN</t>
        </is>
      </c>
      <c r="G269" t="inlineStr">
        <is>
          <t>VÄRNAMO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46250</v>
      </c>
      <c r="F270" t="inlineStr">
        <is>
          <t>JÖNKÖPINGS LÄN</t>
        </is>
      </c>
      <c r="G270" t="inlineStr">
        <is>
          <t>VÄRNAMO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46250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44840</v>
      </c>
      <c r="E272" s="1" t="n">
        <v>46250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46250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46250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45270</v>
      </c>
      <c r="E275" s="1" t="n">
        <v>46250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44985</v>
      </c>
      <c r="E276" s="1" t="n">
        <v>46250</v>
      </c>
      <c r="F276" t="inlineStr">
        <is>
          <t>JÖNKÖPINGS LÄN</t>
        </is>
      </c>
      <c r="G276" t="inlineStr">
        <is>
          <t>VÄRNAMO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44928</v>
      </c>
      <c r="E277" s="1" t="n">
        <v>46250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46250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46250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44931</v>
      </c>
      <c r="E280" s="1" t="n">
        <v>46250</v>
      </c>
      <c r="F280" t="inlineStr">
        <is>
          <t>JÖNKÖPINGS LÄN</t>
        </is>
      </c>
      <c r="G280" t="inlineStr">
        <is>
          <t>VÄRNAMO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46250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46250</v>
      </c>
      <c r="F282" t="inlineStr">
        <is>
          <t>JÖNKÖPINGS LÄN</t>
        </is>
      </c>
      <c r="G282" t="inlineStr">
        <is>
          <t>VÄRNAMO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51754-2024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46250</v>
      </c>
      <c r="F283" t="inlineStr">
        <is>
          <t>JÖNKÖPINGS LÄN</t>
        </is>
      </c>
      <c r="G283" t="inlineStr">
        <is>
          <t>VÄRNAMO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46250</v>
      </c>
      <c r="F284" t="inlineStr">
        <is>
          <t>JÖNKÖPINGS LÄN</t>
        </is>
      </c>
      <c r="G284" t="inlineStr">
        <is>
          <t>VÄRNAMO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46250</v>
      </c>
      <c r="F285" t="inlineStr">
        <is>
          <t>JÖNKÖPINGS LÄN</t>
        </is>
      </c>
      <c r="G285" t="inlineStr">
        <is>
          <t>VÄRNAMO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45200</v>
      </c>
      <c r="E286" s="1" t="n">
        <v>46250</v>
      </c>
      <c r="F286" t="inlineStr">
        <is>
          <t>JÖNKÖPINGS LÄN</t>
        </is>
      </c>
      <c r="G286" t="inlineStr">
        <is>
          <t>VÄRNAMO</t>
        </is>
      </c>
      <c r="H286" t="inlineStr">
        <is>
          <t>Övriga Aktiebolag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44929</v>
      </c>
      <c r="E287" s="1" t="n">
        <v>46250</v>
      </c>
      <c r="F287" t="inlineStr">
        <is>
          <t>JÖNKÖPINGS LÄN</t>
        </is>
      </c>
      <c r="G287" t="inlineStr">
        <is>
          <t>VÄRNAMO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44942</v>
      </c>
      <c r="E288" s="1" t="n">
        <v>46250</v>
      </c>
      <c r="F288" t="inlineStr">
        <is>
          <t>JÖNKÖPINGS LÄN</t>
        </is>
      </c>
      <c r="G288" t="inlineStr">
        <is>
          <t>VÄRNAMO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44526</v>
      </c>
      <c r="E289" s="1" t="n">
        <v>46250</v>
      </c>
      <c r="F289" t="inlineStr">
        <is>
          <t>JÖNKÖPINGS LÄN</t>
        </is>
      </c>
      <c r="G289" t="inlineStr">
        <is>
          <t>VÄRNAMO</t>
        </is>
      </c>
      <c r="H289" t="inlineStr">
        <is>
          <t>Kommuner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46250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46250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46250</v>
      </c>
      <c r="F292" t="inlineStr">
        <is>
          <t>JÖNKÖPINGS LÄN</t>
        </is>
      </c>
      <c r="G292" t="inlineStr">
        <is>
          <t>VÄRNAMO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46250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46250</v>
      </c>
      <c r="F294" t="inlineStr">
        <is>
          <t>JÖNKÖPINGS LÄN</t>
        </is>
      </c>
      <c r="G294" t="inlineStr">
        <is>
          <t>VÄRNAMO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46250</v>
      </c>
      <c r="F295" t="inlineStr">
        <is>
          <t>JÖNKÖPINGS LÄN</t>
        </is>
      </c>
      <c r="G295" t="inlineStr">
        <is>
          <t>VÄRNAMO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46250</v>
      </c>
      <c r="F296" t="inlineStr">
        <is>
          <t>JÖNKÖPINGS LÄN</t>
        </is>
      </c>
      <c r="G296" t="inlineStr">
        <is>
          <t>VÄRNAMO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14439-2023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45012</v>
      </c>
      <c r="E297" s="1" t="n">
        <v>46250</v>
      </c>
      <c r="F297" t="inlineStr">
        <is>
          <t>JÖNKÖPINGS LÄN</t>
        </is>
      </c>
      <c r="G297" t="inlineStr">
        <is>
          <t>VÄRNAMO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45622</v>
      </c>
      <c r="E298" s="1" t="n">
        <v>46250</v>
      </c>
      <c r="F298" t="inlineStr">
        <is>
          <t>JÖNKÖPINGS LÄN</t>
        </is>
      </c>
      <c r="G298" t="inlineStr">
        <is>
          <t>VÄRNAMO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46250</v>
      </c>
      <c r="F299" t="inlineStr">
        <is>
          <t>JÖNKÖPINGS LÄN</t>
        </is>
      </c>
      <c r="G299" t="inlineStr">
        <is>
          <t>VÄRNAMO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46250</v>
      </c>
      <c r="F300" t="inlineStr">
        <is>
          <t>JÖNKÖPINGS LÄN</t>
        </is>
      </c>
      <c r="G300" t="inlineStr">
        <is>
          <t>VÄRNAMO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46250</v>
      </c>
      <c r="F301" t="inlineStr">
        <is>
          <t>JÖNKÖPINGS LÄN</t>
        </is>
      </c>
      <c r="G301" t="inlineStr">
        <is>
          <t>VÄRNAMO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46250</v>
      </c>
      <c r="F302" t="inlineStr">
        <is>
          <t>JÖNKÖPINGS LÄN</t>
        </is>
      </c>
      <c r="G302" t="inlineStr">
        <is>
          <t>VÄRNAMO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46250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45203</v>
      </c>
      <c r="E304" s="1" t="n">
        <v>46250</v>
      </c>
      <c r="F304" t="inlineStr">
        <is>
          <t>JÖNKÖPINGS LÄN</t>
        </is>
      </c>
      <c r="G304" t="inlineStr">
        <is>
          <t>VÄRNAMO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46250</v>
      </c>
      <c r="F305" t="inlineStr">
        <is>
          <t>JÖNKÖPINGS LÄN</t>
        </is>
      </c>
      <c r="G305" t="inlineStr">
        <is>
          <t>VÄRNAMO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46250</v>
      </c>
      <c r="F306" t="inlineStr">
        <is>
          <t>JÖNKÖPINGS LÄN</t>
        </is>
      </c>
      <c r="G306" t="inlineStr">
        <is>
          <t>VÄRNAMO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46250</v>
      </c>
      <c r="F307" t="inlineStr">
        <is>
          <t>JÖNKÖPINGS LÄN</t>
        </is>
      </c>
      <c r="G307" t="inlineStr">
        <is>
          <t>VÄRNAMO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46250</v>
      </c>
      <c r="F308" t="inlineStr">
        <is>
          <t>JÖNKÖPINGS LÄN</t>
        </is>
      </c>
      <c r="G308" t="inlineStr">
        <is>
          <t>VÄRNAMO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46250</v>
      </c>
      <c r="F309" t="inlineStr">
        <is>
          <t>JÖNKÖPINGS LÄN</t>
        </is>
      </c>
      <c r="G309" t="inlineStr">
        <is>
          <t>VÄRNAMO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46250</v>
      </c>
      <c r="F310" t="inlineStr">
        <is>
          <t>JÖNKÖPINGS LÄN</t>
        </is>
      </c>
      <c r="G310" t="inlineStr">
        <is>
          <t>VÄRNAMO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45036</v>
      </c>
      <c r="E311" s="1" t="n">
        <v>46250</v>
      </c>
      <c r="F311" t="inlineStr">
        <is>
          <t>JÖNKÖPINGS LÄN</t>
        </is>
      </c>
      <c r="G311" t="inlineStr">
        <is>
          <t>VÄRNAMO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46250</v>
      </c>
      <c r="F312" t="inlineStr">
        <is>
          <t>JÖNKÖPINGS LÄN</t>
        </is>
      </c>
      <c r="G312" t="inlineStr">
        <is>
          <t>VÄRNAMO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46250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61503-2021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46250</v>
      </c>
      <c r="F314" t="inlineStr">
        <is>
          <t>JÖNKÖPINGS LÄN</t>
        </is>
      </c>
      <c r="G314" t="inlineStr">
        <is>
          <t>VÄRNAMO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46250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62276-2023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45267</v>
      </c>
      <c r="E316" s="1" t="n">
        <v>46250</v>
      </c>
      <c r="F316" t="inlineStr">
        <is>
          <t>JÖNKÖPINGS LÄN</t>
        </is>
      </c>
      <c r="G316" t="inlineStr">
        <is>
          <t>VÄRNAMO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44846</v>
      </c>
      <c r="E317" s="1" t="n">
        <v>46250</v>
      </c>
      <c r="F317" t="inlineStr">
        <is>
          <t>JÖNKÖPINGS LÄN</t>
        </is>
      </c>
      <c r="G317" t="inlineStr">
        <is>
          <t>VÄRNAMO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18600-2023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45043</v>
      </c>
      <c r="E318" s="1" t="n">
        <v>46250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45674</v>
      </c>
      <c r="E319" s="1" t="n">
        <v>46250</v>
      </c>
      <c r="F319" t="inlineStr">
        <is>
          <t>JÖNKÖPINGS LÄN</t>
        </is>
      </c>
      <c r="G319" t="inlineStr">
        <is>
          <t>VÄRNAMO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45308</v>
      </c>
      <c r="E320" s="1" t="n">
        <v>46250</v>
      </c>
      <c r="F320" t="inlineStr">
        <is>
          <t>JÖNKÖPINGS LÄN</t>
        </is>
      </c>
      <c r="G320" t="inlineStr">
        <is>
          <t>VÄRNAMO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44616</v>
      </c>
      <c r="E321" s="1" t="n">
        <v>46250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45785</v>
      </c>
      <c r="E322" s="1" t="n">
        <v>46250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46250</v>
      </c>
      <c r="F323" t="inlineStr">
        <is>
          <t>JÖNKÖPINGS LÄN</t>
        </is>
      </c>
      <c r="G323" t="inlineStr">
        <is>
          <t>VÄRNAMO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46250</v>
      </c>
      <c r="F324" t="inlineStr">
        <is>
          <t>JÖNKÖPINGS LÄN</t>
        </is>
      </c>
      <c r="G324" t="inlineStr">
        <is>
          <t>VÄRNAMO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45245</v>
      </c>
      <c r="E325" s="1" t="n">
        <v>46250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45221</v>
      </c>
      <c r="E326" s="1" t="n">
        <v>46250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46250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46029</v>
      </c>
      <c r="E328" s="1" t="n">
        <v>46250</v>
      </c>
      <c r="F328" t="inlineStr">
        <is>
          <t>JÖNKÖPINGS LÄN</t>
        </is>
      </c>
      <c r="G328" t="inlineStr">
        <is>
          <t>VÄRNAMO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46250</v>
      </c>
      <c r="F329" t="inlineStr">
        <is>
          <t>JÖNKÖPINGS LÄN</t>
        </is>
      </c>
      <c r="G329" t="inlineStr">
        <is>
          <t>VÄRNAMO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46250</v>
      </c>
      <c r="F330" t="inlineStr">
        <is>
          <t>JÖNKÖPINGS LÄN</t>
        </is>
      </c>
      <c r="G330" t="inlineStr">
        <is>
          <t>VÄRNAMO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46250</v>
      </c>
      <c r="F331" t="inlineStr">
        <is>
          <t>JÖNKÖPINGS LÄN</t>
        </is>
      </c>
      <c r="G331" t="inlineStr">
        <is>
          <t>VÄRNAMO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45642</v>
      </c>
      <c r="E332" s="1" t="n">
        <v>46250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58766-2022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46250</v>
      </c>
      <c r="F333" t="inlineStr">
        <is>
          <t>JÖNKÖPINGS LÄN</t>
        </is>
      </c>
      <c r="G333" t="inlineStr">
        <is>
          <t>VÄRNAMO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46250</v>
      </c>
      <c r="F334" t="inlineStr">
        <is>
          <t>JÖNKÖPINGS LÄN</t>
        </is>
      </c>
      <c r="G334" t="inlineStr">
        <is>
          <t>VÄRNAMO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46250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44642</v>
      </c>
      <c r="E336" s="1" t="n">
        <v>46250</v>
      </c>
      <c r="F336" t="inlineStr">
        <is>
          <t>JÖNKÖPINGS LÄN</t>
        </is>
      </c>
      <c r="G336" t="inlineStr">
        <is>
          <t>VÄRNAMO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44577</v>
      </c>
      <c r="E337" s="1" t="n">
        <v>46250</v>
      </c>
      <c r="F337" t="inlineStr">
        <is>
          <t>JÖNKÖPINGS LÄN</t>
        </is>
      </c>
      <c r="G337" t="inlineStr">
        <is>
          <t>VÄRNAMO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46250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45873</v>
      </c>
      <c r="E339" s="1" t="n">
        <v>46250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46250</v>
      </c>
      <c r="F340" t="inlineStr">
        <is>
          <t>JÖNKÖPINGS LÄN</t>
        </is>
      </c>
      <c r="G340" t="inlineStr">
        <is>
          <t>VÄRNAMO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46250</v>
      </c>
      <c r="F341" t="inlineStr">
        <is>
          <t>JÖNKÖPINGS LÄN</t>
        </is>
      </c>
      <c r="G341" t="inlineStr">
        <is>
          <t>VÄRNAMO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45274</v>
      </c>
      <c r="E342" s="1" t="n">
        <v>46250</v>
      </c>
      <c r="F342" t="inlineStr">
        <is>
          <t>JÖNKÖPINGS LÄN</t>
        </is>
      </c>
      <c r="G342" t="inlineStr">
        <is>
          <t>VÄRNAMO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46250</v>
      </c>
      <c r="F343" t="inlineStr">
        <is>
          <t>JÖNKÖPINGS LÄN</t>
        </is>
      </c>
      <c r="G343" t="inlineStr">
        <is>
          <t>VÄRNAMO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46250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46250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46250</v>
      </c>
      <c r="F346" t="inlineStr">
        <is>
          <t>JÖNKÖPINGS LÄN</t>
        </is>
      </c>
      <c r="G346" t="inlineStr">
        <is>
          <t>VÄRNAMO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46250</v>
      </c>
      <c r="F347" t="inlineStr">
        <is>
          <t>JÖNKÖPINGS LÄN</t>
        </is>
      </c>
      <c r="G347" t="inlineStr">
        <is>
          <t>VÄRNAMO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46250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46250</v>
      </c>
      <c r="F349" t="inlineStr">
        <is>
          <t>JÖNKÖPINGS LÄN</t>
        </is>
      </c>
      <c r="G349" t="inlineStr">
        <is>
          <t>VÄRNAMO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35120-2022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44797</v>
      </c>
      <c r="E350" s="1" t="n">
        <v>46250</v>
      </c>
      <c r="F350" t="inlineStr">
        <is>
          <t>JÖNKÖPINGS LÄN</t>
        </is>
      </c>
      <c r="G350" t="inlineStr">
        <is>
          <t>VÄRNAMO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46250</v>
      </c>
      <c r="F351" t="inlineStr">
        <is>
          <t>JÖNKÖPINGS LÄN</t>
        </is>
      </c>
      <c r="G351" t="inlineStr">
        <is>
          <t>VÄRNAMO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46250</v>
      </c>
      <c r="F352" t="inlineStr">
        <is>
          <t>JÖNKÖPINGS LÄN</t>
        </is>
      </c>
      <c r="G352" t="inlineStr">
        <is>
          <t>VÄRNAMO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45876</v>
      </c>
      <c r="E353" s="1" t="n">
        <v>46250</v>
      </c>
      <c r="F353" t="inlineStr">
        <is>
          <t>JÖNKÖPINGS LÄN</t>
        </is>
      </c>
      <c r="G353" t="inlineStr">
        <is>
          <t>VÄRNAMO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46250</v>
      </c>
      <c r="F354" t="inlineStr">
        <is>
          <t>JÖNKÖPINGS LÄN</t>
        </is>
      </c>
      <c r="G354" t="inlineStr">
        <is>
          <t>VÄRNAMO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54519-2021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46250</v>
      </c>
      <c r="F355" t="inlineStr">
        <is>
          <t>JÖNKÖPINGS LÄN</t>
        </is>
      </c>
      <c r="G355" t="inlineStr">
        <is>
          <t>VÄRNAMO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46250</v>
      </c>
      <c r="F356" t="inlineStr">
        <is>
          <t>JÖNKÖPINGS LÄN</t>
        </is>
      </c>
      <c r="G356" t="inlineStr">
        <is>
          <t>VÄRNAMO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46250</v>
      </c>
      <c r="F357" t="inlineStr">
        <is>
          <t>JÖNKÖPINGS LÄN</t>
        </is>
      </c>
      <c r="G357" t="inlineStr">
        <is>
          <t>VÄRNAMO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46250</v>
      </c>
      <c r="F358" t="inlineStr">
        <is>
          <t>JÖNKÖPINGS LÄN</t>
        </is>
      </c>
      <c r="G358" t="inlineStr">
        <is>
          <t>VÄRNAMO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46250</v>
      </c>
      <c r="F359" t="inlineStr">
        <is>
          <t>JÖNKÖPINGS LÄN</t>
        </is>
      </c>
      <c r="G359" t="inlineStr">
        <is>
          <t>VÄRNAMO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46250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46250</v>
      </c>
      <c r="F361" t="inlineStr">
        <is>
          <t>JÖNKÖPINGS LÄN</t>
        </is>
      </c>
      <c r="G361" t="inlineStr">
        <is>
          <t>VÄRNAMO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45386</v>
      </c>
      <c r="E362" s="1" t="n">
        <v>46250</v>
      </c>
      <c r="F362" t="inlineStr">
        <is>
          <t>JÖNKÖPINGS LÄN</t>
        </is>
      </c>
      <c r="G362" t="inlineStr">
        <is>
          <t>VÄRNAMO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45357</v>
      </c>
      <c r="E363" s="1" t="n">
        <v>46250</v>
      </c>
      <c r="F363" t="inlineStr">
        <is>
          <t>JÖNKÖPINGS LÄN</t>
        </is>
      </c>
      <c r="G363" t="inlineStr">
        <is>
          <t>VÄRNAMO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46250</v>
      </c>
      <c r="F364" t="inlineStr">
        <is>
          <t>JÖNKÖPINGS LÄN</t>
        </is>
      </c>
      <c r="G364" t="inlineStr">
        <is>
          <t>VÄRNAMO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45824-2022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46250</v>
      </c>
      <c r="F365" t="inlineStr">
        <is>
          <t>JÖNKÖPINGS LÄN</t>
        </is>
      </c>
      <c r="G365" t="inlineStr">
        <is>
          <t>VÄRNAMO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45563</v>
      </c>
      <c r="E366" s="1" t="n">
        <v>46250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45036</v>
      </c>
      <c r="E367" s="1" t="n">
        <v>46250</v>
      </c>
      <c r="F367" t="inlineStr">
        <is>
          <t>JÖNKÖPINGS LÄN</t>
        </is>
      </c>
      <c r="G367" t="inlineStr">
        <is>
          <t>VÄRNAMO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46250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46250</v>
      </c>
      <c r="F369" t="inlineStr">
        <is>
          <t>JÖNKÖPINGS LÄN</t>
        </is>
      </c>
      <c r="G369" t="inlineStr">
        <is>
          <t>VÄRNAMO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46250</v>
      </c>
      <c r="F370" t="inlineStr">
        <is>
          <t>JÖNKÖPINGS LÄN</t>
        </is>
      </c>
      <c r="G370" t="inlineStr">
        <is>
          <t>VÄRNAMO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46250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46250</v>
      </c>
      <c r="F372" t="inlineStr">
        <is>
          <t>JÖNKÖPINGS LÄN</t>
        </is>
      </c>
      <c r="G372" t="inlineStr">
        <is>
          <t>VÄRNAMO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24702-2022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44727</v>
      </c>
      <c r="E373" s="1" t="n">
        <v>46250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15248-2024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46250</v>
      </c>
      <c r="F374" t="inlineStr">
        <is>
          <t>JÖNKÖPINGS LÄN</t>
        </is>
      </c>
      <c r="G374" t="inlineStr">
        <is>
          <t>VÄRNAMO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46250</v>
      </c>
      <c r="F375" t="inlineStr">
        <is>
          <t>JÖNKÖPINGS LÄN</t>
        </is>
      </c>
      <c r="G375" t="inlineStr">
        <is>
          <t>VÄRNAMO</t>
        </is>
      </c>
      <c r="H375" t="inlineStr">
        <is>
          <t>Övriga Aktiebolag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46250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46250</v>
      </c>
      <c r="F377" t="inlineStr">
        <is>
          <t>JÖNKÖPINGS LÄN</t>
        </is>
      </c>
      <c r="G377" t="inlineStr">
        <is>
          <t>VÄRNAMO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46250</v>
      </c>
      <c r="F378" t="inlineStr">
        <is>
          <t>JÖNKÖPINGS LÄN</t>
        </is>
      </c>
      <c r="G378" t="inlineStr">
        <is>
          <t>VÄRNAMO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46250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46250</v>
      </c>
      <c r="F380" t="inlineStr">
        <is>
          <t>JÖNKÖPINGS LÄN</t>
        </is>
      </c>
      <c r="G380" t="inlineStr">
        <is>
          <t>VÄRNAMO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46250</v>
      </c>
      <c r="F381" t="inlineStr">
        <is>
          <t>JÖNKÖPINGS LÄN</t>
        </is>
      </c>
      <c r="G381" t="inlineStr">
        <is>
          <t>VÄRNAMO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45642</v>
      </c>
      <c r="E382" s="1" t="n">
        <v>46250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5350-2026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46050</v>
      </c>
      <c r="E383" s="1" t="n">
        <v>46250</v>
      </c>
      <c r="F383" t="inlineStr">
        <is>
          <t>JÖNKÖPINGS LÄN</t>
        </is>
      </c>
      <c r="G383" t="inlineStr">
        <is>
          <t>VÄRNAMO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45200</v>
      </c>
      <c r="E384" s="1" t="n">
        <v>46250</v>
      </c>
      <c r="F384" t="inlineStr">
        <is>
          <t>JÖNKÖPINGS LÄN</t>
        </is>
      </c>
      <c r="G384" t="inlineStr">
        <is>
          <t>VÄRNAMO</t>
        </is>
      </c>
      <c r="H384" t="inlineStr">
        <is>
          <t>Övriga Aktiebolag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46250</v>
      </c>
      <c r="F385" t="inlineStr">
        <is>
          <t>JÖNKÖPINGS LÄN</t>
        </is>
      </c>
      <c r="G385" t="inlineStr">
        <is>
          <t>VÄRNAMO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46250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46250</v>
      </c>
      <c r="F387" t="inlineStr">
        <is>
          <t>JÖNKÖPINGS LÄN</t>
        </is>
      </c>
      <c r="G387" t="inlineStr">
        <is>
          <t>VÄRNAMO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46250</v>
      </c>
      <c r="F388" t="inlineStr">
        <is>
          <t>JÖNKÖPINGS LÄN</t>
        </is>
      </c>
      <c r="G388" t="inlineStr">
        <is>
          <t>VÄRNAMO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31746-2024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45509</v>
      </c>
      <c r="E389" s="1" t="n">
        <v>46250</v>
      </c>
      <c r="F389" t="inlineStr">
        <is>
          <t>JÖNKÖPINGS LÄN</t>
        </is>
      </c>
      <c r="G389" t="inlineStr">
        <is>
          <t>VÄRNAMO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46250</v>
      </c>
      <c r="F390" t="inlineStr">
        <is>
          <t>JÖNKÖPINGS LÄN</t>
        </is>
      </c>
      <c r="G390" t="inlineStr">
        <is>
          <t>VÄRNAMO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46250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46250</v>
      </c>
      <c r="F392" t="inlineStr">
        <is>
          <t>JÖNKÖPINGS LÄN</t>
        </is>
      </c>
      <c r="G392" t="inlineStr">
        <is>
          <t>VÄRNAMO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46250</v>
      </c>
      <c r="F393" t="inlineStr">
        <is>
          <t>JÖNKÖPINGS LÄN</t>
        </is>
      </c>
      <c r="G393" t="inlineStr">
        <is>
          <t>VÄRNAMO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45009</v>
      </c>
      <c r="E394" s="1" t="n">
        <v>46250</v>
      </c>
      <c r="F394" t="inlineStr">
        <is>
          <t>JÖNKÖPINGS LÄN</t>
        </is>
      </c>
      <c r="G394" t="inlineStr">
        <is>
          <t>VÄRNAMO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46250</v>
      </c>
      <c r="F395" t="inlineStr">
        <is>
          <t>JÖNKÖPINGS LÄN</t>
        </is>
      </c>
      <c r="G395" t="inlineStr">
        <is>
          <t>VÄRNAMO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46250</v>
      </c>
      <c r="F396" t="inlineStr">
        <is>
          <t>JÖNKÖPINGS LÄN</t>
        </is>
      </c>
      <c r="G396" t="inlineStr">
        <is>
          <t>VÄRNAMO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46250</v>
      </c>
      <c r="F397" t="inlineStr">
        <is>
          <t>JÖNKÖPINGS LÄN</t>
        </is>
      </c>
      <c r="G397" t="inlineStr">
        <is>
          <t>VÄRNAMO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46250</v>
      </c>
      <c r="F398" t="inlineStr">
        <is>
          <t>JÖNKÖPINGS LÄN</t>
        </is>
      </c>
      <c r="G398" t="inlineStr">
        <is>
          <t>VÄRNAMO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46250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46250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46250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45105</v>
      </c>
      <c r="E402" s="1" t="n">
        <v>46250</v>
      </c>
      <c r="F402" t="inlineStr">
        <is>
          <t>JÖNKÖPINGS LÄN</t>
        </is>
      </c>
      <c r="G402" t="inlineStr">
        <is>
          <t>VÄRNAMO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45105</v>
      </c>
      <c r="E403" s="1" t="n">
        <v>46250</v>
      </c>
      <c r="F403" t="inlineStr">
        <is>
          <t>JÖNKÖPINGS LÄN</t>
        </is>
      </c>
      <c r="G403" t="inlineStr">
        <is>
          <t>VÄRNAMO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29166-2023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45105</v>
      </c>
      <c r="E404" s="1" t="n">
        <v>46250</v>
      </c>
      <c r="F404" t="inlineStr">
        <is>
          <t>JÖNKÖPINGS LÄN</t>
        </is>
      </c>
      <c r="G404" t="inlineStr">
        <is>
          <t>VÄRNAMO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46250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33315-2025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46250</v>
      </c>
      <c r="F406" t="inlineStr">
        <is>
          <t>JÖNKÖPINGS LÄN</t>
        </is>
      </c>
      <c r="G406" t="inlineStr">
        <is>
          <t>VÄRNAMO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24703-2022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44727</v>
      </c>
      <c r="E407" s="1" t="n">
        <v>46250</v>
      </c>
      <c r="F407" t="inlineStr">
        <is>
          <t>JÖNKÖPINGS LÄN</t>
        </is>
      </c>
      <c r="G407" t="inlineStr">
        <is>
          <t>VÄRNAMO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46250</v>
      </c>
      <c r="F408" t="inlineStr">
        <is>
          <t>JÖNKÖPINGS LÄN</t>
        </is>
      </c>
      <c r="G408" t="inlineStr">
        <is>
          <t>VÄRNAMO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46250</v>
      </c>
      <c r="F409" t="inlineStr">
        <is>
          <t>JÖNKÖPINGS LÄN</t>
        </is>
      </c>
      <c r="G409" t="inlineStr">
        <is>
          <t>VÄRNAMO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46250</v>
      </c>
      <c r="F410" t="inlineStr">
        <is>
          <t>JÖNKÖPINGS LÄN</t>
        </is>
      </c>
      <c r="G410" t="inlineStr">
        <is>
          <t>VÄRNAMO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46250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46250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46250</v>
      </c>
      <c r="F413" t="inlineStr">
        <is>
          <t>JÖNKÖPINGS LÄN</t>
        </is>
      </c>
      <c r="G413" t="inlineStr">
        <is>
          <t>VÄRNAMO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12306-2023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44998</v>
      </c>
      <c r="E414" s="1" t="n">
        <v>46250</v>
      </c>
      <c r="F414" t="inlineStr">
        <is>
          <t>JÖNKÖPINGS LÄN</t>
        </is>
      </c>
      <c r="G414" t="inlineStr">
        <is>
          <t>VÄRNAMO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29162-2023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45105</v>
      </c>
      <c r="E415" s="1" t="n">
        <v>46250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45105</v>
      </c>
      <c r="E416" s="1" t="n">
        <v>46250</v>
      </c>
      <c r="F416" t="inlineStr">
        <is>
          <t>JÖNKÖPINGS LÄN</t>
        </is>
      </c>
      <c r="G416" t="inlineStr">
        <is>
          <t>VÄRNAMO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46250</v>
      </c>
      <c r="F417" t="inlineStr">
        <is>
          <t>JÖNKÖPINGS LÄN</t>
        </is>
      </c>
      <c r="G417" t="inlineStr">
        <is>
          <t>VÄRNAMO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46250</v>
      </c>
      <c r="F418" t="inlineStr">
        <is>
          <t>JÖNKÖPINGS LÄN</t>
        </is>
      </c>
      <c r="G418" t="inlineStr">
        <is>
          <t>VÄRNAMO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45200</v>
      </c>
      <c r="E419" s="1" t="n">
        <v>46250</v>
      </c>
      <c r="F419" t="inlineStr">
        <is>
          <t>JÖNKÖPINGS LÄN</t>
        </is>
      </c>
      <c r="G419" t="inlineStr">
        <is>
          <t>VÄRNAMO</t>
        </is>
      </c>
      <c r="H419" t="inlineStr">
        <is>
          <t>Övriga Aktiebolag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46250</v>
      </c>
      <c r="F420" t="inlineStr">
        <is>
          <t>JÖNKÖPINGS LÄN</t>
        </is>
      </c>
      <c r="G420" t="inlineStr">
        <is>
          <t>VÄRNAMO</t>
        </is>
      </c>
      <c r="H420" t="inlineStr">
        <is>
          <t>Kommuner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46250</v>
      </c>
      <c r="F421" t="inlineStr">
        <is>
          <t>JÖNKÖPINGS LÄN</t>
        </is>
      </c>
      <c r="G421" t="inlineStr">
        <is>
          <t>VÄRNAMO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45889</v>
      </c>
      <c r="E422" s="1" t="n">
        <v>46250</v>
      </c>
      <c r="F422" t="inlineStr">
        <is>
          <t>JÖNKÖPINGS LÄN</t>
        </is>
      </c>
      <c r="G422" t="inlineStr">
        <is>
          <t>VÄRNAMO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46250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44721-2025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46250</v>
      </c>
      <c r="F424" t="inlineStr">
        <is>
          <t>JÖNKÖPINGS LÄN</t>
        </is>
      </c>
      <c r="G424" t="inlineStr">
        <is>
          <t>VÄRNAMO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51463-2022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44869</v>
      </c>
      <c r="E425" s="1" t="n">
        <v>46250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46250</v>
      </c>
      <c r="F426" t="inlineStr">
        <is>
          <t>JÖNKÖPINGS LÄN</t>
        </is>
      </c>
      <c r="G426" t="inlineStr">
        <is>
          <t>VÄRNAMO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45056</v>
      </c>
      <c r="E427" s="1" t="n">
        <v>46250</v>
      </c>
      <c r="F427" t="inlineStr">
        <is>
          <t>JÖNKÖPINGS LÄN</t>
        </is>
      </c>
      <c r="G427" t="inlineStr">
        <is>
          <t>VÄRNAMO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10031-2026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46250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45827</v>
      </c>
      <c r="E429" s="1" t="n">
        <v>46250</v>
      </c>
      <c r="F429" t="inlineStr">
        <is>
          <t>JÖNKÖPINGS LÄN</t>
        </is>
      </c>
      <c r="G429" t="inlineStr">
        <is>
          <t>VÄRNAMO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46250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51430-2021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46250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46250</v>
      </c>
      <c r="F432" t="inlineStr">
        <is>
          <t>JÖNKÖPINGS LÄN</t>
        </is>
      </c>
      <c r="G432" t="inlineStr">
        <is>
          <t>VÄRNAMO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46250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46250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9970-2026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46250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46250</v>
      </c>
      <c r="F436" t="inlineStr">
        <is>
          <t>JÖNKÖPINGS LÄN</t>
        </is>
      </c>
      <c r="G436" t="inlineStr">
        <is>
          <t>VÄRNAMO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46073</v>
      </c>
      <c r="E437" s="1" t="n">
        <v>46250</v>
      </c>
      <c r="F437" t="inlineStr">
        <is>
          <t>JÖNKÖPINGS LÄN</t>
        </is>
      </c>
      <c r="G437" t="inlineStr">
        <is>
          <t>VÄRNAMO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46078</v>
      </c>
      <c r="E438" s="1" t="n">
        <v>46250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45371</v>
      </c>
      <c r="E439" s="1" t="n">
        <v>46250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45208</v>
      </c>
      <c r="E440" s="1" t="n">
        <v>46250</v>
      </c>
      <c r="F440" t="inlineStr">
        <is>
          <t>JÖNKÖPINGS LÄN</t>
        </is>
      </c>
      <c r="G440" t="inlineStr">
        <is>
          <t>VÄRNAMO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45208</v>
      </c>
      <c r="E441" s="1" t="n">
        <v>46250</v>
      </c>
      <c r="F441" t="inlineStr">
        <is>
          <t>JÖNKÖPINGS LÄN</t>
        </is>
      </c>
      <c r="G441" t="inlineStr">
        <is>
          <t>VÄRNAMO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46079</v>
      </c>
      <c r="E442" s="1" t="n">
        <v>46250</v>
      </c>
      <c r="F442" t="inlineStr">
        <is>
          <t>JÖNKÖPINGS LÄN</t>
        </is>
      </c>
      <c r="G442" t="inlineStr">
        <is>
          <t>VÄRNAMO</t>
        </is>
      </c>
      <c r="H442" t="inlineStr">
        <is>
          <t>Kommuner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45596</v>
      </c>
      <c r="E443" s="1" t="n">
        <v>46250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45547</v>
      </c>
      <c r="E444" s="1" t="n">
        <v>46250</v>
      </c>
      <c r="F444" t="inlineStr">
        <is>
          <t>JÖNKÖPINGS LÄN</t>
        </is>
      </c>
      <c r="G444" t="inlineStr">
        <is>
          <t>VÄRNAMO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54477-2022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44882</v>
      </c>
      <c r="E445" s="1" t="n">
        <v>46250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45496</v>
      </c>
      <c r="E446" s="1" t="n">
        <v>46250</v>
      </c>
      <c r="F446" t="inlineStr">
        <is>
          <t>JÖNKÖPINGS LÄN</t>
        </is>
      </c>
      <c r="G446" t="inlineStr">
        <is>
          <t>VÄRNAMO</t>
        </is>
      </c>
      <c r="H446" t="inlineStr">
        <is>
          <t>Kommuner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46250</v>
      </c>
      <c r="F447" t="inlineStr">
        <is>
          <t>JÖNKÖPINGS LÄN</t>
        </is>
      </c>
      <c r="G447" t="inlineStr">
        <is>
          <t>VÄRNAMO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45505</v>
      </c>
      <c r="E448" s="1" t="n">
        <v>46250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46250</v>
      </c>
      <c r="F449" t="inlineStr">
        <is>
          <t>JÖNKÖPINGS LÄN</t>
        </is>
      </c>
      <c r="G449" t="inlineStr">
        <is>
          <t>VÄRNAMO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45021</v>
      </c>
      <c r="E450" s="1" t="n">
        <v>46250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46250</v>
      </c>
      <c r="F451" t="inlineStr">
        <is>
          <t>JÖNKÖPINGS LÄN</t>
        </is>
      </c>
      <c r="G451" t="inlineStr">
        <is>
          <t>VÄRNAMO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45618</v>
      </c>
      <c r="E452" s="1" t="n">
        <v>46250</v>
      </c>
      <c r="F452" t="inlineStr">
        <is>
          <t>JÖNKÖPINGS LÄN</t>
        </is>
      </c>
      <c r="G452" t="inlineStr">
        <is>
          <t>VÄRNAMO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45713</v>
      </c>
      <c r="E453" s="1" t="n">
        <v>46250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45687</v>
      </c>
      <c r="E454" s="1" t="n">
        <v>46250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29382-2024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45483</v>
      </c>
      <c r="E455" s="1" t="n">
        <v>46250</v>
      </c>
      <c r="F455" t="inlineStr">
        <is>
          <t>JÖNKÖPINGS LÄN</t>
        </is>
      </c>
      <c r="G455" t="inlineStr">
        <is>
          <t>VÄRNAMO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45271</v>
      </c>
      <c r="E456" s="1" t="n">
        <v>46250</v>
      </c>
      <c r="F456" t="inlineStr">
        <is>
          <t>JÖNKÖPINGS LÄN</t>
        </is>
      </c>
      <c r="G456" t="inlineStr">
        <is>
          <t>VÄRNAMO</t>
        </is>
      </c>
      <c r="H456" t="inlineStr">
        <is>
          <t>Kommuner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44831</v>
      </c>
      <c r="E457" s="1" t="n">
        <v>46250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45674</v>
      </c>
      <c r="E458" s="1" t="n">
        <v>46250</v>
      </c>
      <c r="F458" t="inlineStr">
        <is>
          <t>JÖNKÖPINGS LÄN</t>
        </is>
      </c>
      <c r="G458" t="inlineStr">
        <is>
          <t>VÄRNAMO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46250</v>
      </c>
      <c r="F459" t="inlineStr">
        <is>
          <t>JÖNKÖPINGS LÄN</t>
        </is>
      </c>
      <c r="G459" t="inlineStr">
        <is>
          <t>VÄRNAMO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45718</v>
      </c>
      <c r="E460" s="1" t="n">
        <v>46250</v>
      </c>
      <c r="F460" t="inlineStr">
        <is>
          <t>JÖNKÖPINGS LÄN</t>
        </is>
      </c>
      <c r="G460" t="inlineStr">
        <is>
          <t>VÄRNAMO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45667</v>
      </c>
      <c r="E461" s="1" t="n">
        <v>46250</v>
      </c>
      <c r="F461" t="inlineStr">
        <is>
          <t>JÖNKÖPINGS LÄN</t>
        </is>
      </c>
      <c r="G461" t="inlineStr">
        <is>
          <t>VÄRNAMO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46250</v>
      </c>
      <c r="F462" t="inlineStr">
        <is>
          <t>JÖNKÖPINGS LÄN</t>
        </is>
      </c>
      <c r="G462" t="inlineStr">
        <is>
          <t>VÄRNAMO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46250</v>
      </c>
      <c r="F463" t="inlineStr">
        <is>
          <t>JÖNKÖPINGS LÄN</t>
        </is>
      </c>
      <c r="G463" t="inlineStr">
        <is>
          <t>VÄRNAMO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53131-2023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45229</v>
      </c>
      <c r="E464" s="1" t="n">
        <v>46250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46250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45358</v>
      </c>
      <c r="E466" s="1" t="n">
        <v>46250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45684</v>
      </c>
      <c r="E467" s="1" t="n">
        <v>46250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55379-2023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46250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46250</v>
      </c>
      <c r="F469" t="inlineStr">
        <is>
          <t>JÖNKÖPINGS LÄN</t>
        </is>
      </c>
      <c r="G469" t="inlineStr">
        <is>
          <t>VÄRNAMO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46250</v>
      </c>
      <c r="F470" t="inlineStr">
        <is>
          <t>JÖNKÖPINGS LÄN</t>
        </is>
      </c>
      <c r="G470" t="inlineStr">
        <is>
          <t>VÄRNAMO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46250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46250</v>
      </c>
      <c r="F472" t="inlineStr">
        <is>
          <t>JÖNKÖPINGS LÄN</t>
        </is>
      </c>
      <c r="G472" t="inlineStr">
        <is>
          <t>VÄRNAMO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45146</v>
      </c>
      <c r="E473" s="1" t="n">
        <v>46250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46250</v>
      </c>
      <c r="F474" t="inlineStr">
        <is>
          <t>JÖNKÖPINGS LÄN</t>
        </is>
      </c>
      <c r="G474" t="inlineStr">
        <is>
          <t>VÄRNAMO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46250</v>
      </c>
      <c r="F475" t="inlineStr">
        <is>
          <t>JÖNKÖPINGS LÄN</t>
        </is>
      </c>
      <c r="G475" t="inlineStr">
        <is>
          <t>VÄRNAMO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36729-2022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44805</v>
      </c>
      <c r="E476" s="1" t="n">
        <v>46250</v>
      </c>
      <c r="F476" t="inlineStr">
        <is>
          <t>JÖNKÖPINGS LÄN</t>
        </is>
      </c>
      <c r="G476" t="inlineStr">
        <is>
          <t>VÄRNAMO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45667</v>
      </c>
      <c r="E477" s="1" t="n">
        <v>46250</v>
      </c>
      <c r="F477" t="inlineStr">
        <is>
          <t>JÖNKÖPINGS LÄN</t>
        </is>
      </c>
      <c r="G477" t="inlineStr">
        <is>
          <t>VÄRNAMO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45160</v>
      </c>
      <c r="E478" s="1" t="n">
        <v>46250</v>
      </c>
      <c r="F478" t="inlineStr">
        <is>
          <t>JÖNKÖPINGS LÄN</t>
        </is>
      </c>
      <c r="G478" t="inlineStr">
        <is>
          <t>VÄRNAMO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46250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45589</v>
      </c>
      <c r="E480" s="1" t="n">
        <v>46250</v>
      </c>
      <c r="F480" t="inlineStr">
        <is>
          <t>JÖNKÖPINGS LÄN</t>
        </is>
      </c>
      <c r="G480" t="inlineStr">
        <is>
          <t>VÄRNAMO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21104-2025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45777</v>
      </c>
      <c r="E481" s="1" t="n">
        <v>46250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45019</v>
      </c>
      <c r="E482" s="1" t="n">
        <v>46250</v>
      </c>
      <c r="F482" t="inlineStr">
        <is>
          <t>JÖNKÖPINGS LÄN</t>
        </is>
      </c>
      <c r="G482" t="inlineStr">
        <is>
          <t>VÄRNAMO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45029</v>
      </c>
      <c r="E483" s="1" t="n">
        <v>46250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46250</v>
      </c>
      <c r="F484" t="inlineStr">
        <is>
          <t>JÖNKÖPINGS LÄN</t>
        </is>
      </c>
      <c r="G484" t="inlineStr">
        <is>
          <t>VÄRNAMO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45428</v>
      </c>
      <c r="E485" s="1" t="n">
        <v>46250</v>
      </c>
      <c r="F485" t="inlineStr">
        <is>
          <t>JÖNKÖPINGS LÄN</t>
        </is>
      </c>
      <c r="G485" t="inlineStr">
        <is>
          <t>VÄRNAMO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45106</v>
      </c>
      <c r="E486" s="1" t="n">
        <v>46250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46250</v>
      </c>
      <c r="F487" t="inlineStr">
        <is>
          <t>JÖNKÖPINGS LÄN</t>
        </is>
      </c>
      <c r="G487" t="inlineStr">
        <is>
          <t>VÄRNAMO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46250</v>
      </c>
      <c r="F488" t="inlineStr">
        <is>
          <t>JÖNKÖPINGS LÄN</t>
        </is>
      </c>
      <c r="G488" t="inlineStr">
        <is>
          <t>VÄRNAMO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45445</v>
      </c>
      <c r="E489" s="1" t="n">
        <v>46250</v>
      </c>
      <c r="F489" t="inlineStr">
        <is>
          <t>JÖNKÖPINGS LÄN</t>
        </is>
      </c>
      <c r="G489" t="inlineStr">
        <is>
          <t>VÄRNAMO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46250</v>
      </c>
      <c r="F490" t="inlineStr">
        <is>
          <t>JÖNKÖPINGS LÄN</t>
        </is>
      </c>
      <c r="G490" t="inlineStr">
        <is>
          <t>VÄRNAMO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46250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38662-2024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46250</v>
      </c>
      <c r="F492" t="inlineStr">
        <is>
          <t>JÖNKÖPINGS LÄN</t>
        </is>
      </c>
      <c r="G492" t="inlineStr">
        <is>
          <t>VÄRNAMO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45124</v>
      </c>
      <c r="E493" s="1" t="n">
        <v>46250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45468</v>
      </c>
      <c r="E494" s="1" t="n">
        <v>46250</v>
      </c>
      <c r="F494" t="inlineStr">
        <is>
          <t>JÖNKÖPINGS LÄN</t>
        </is>
      </c>
      <c r="G494" t="inlineStr">
        <is>
          <t>VÄRNAMO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46250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24028-2026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46250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46250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56413-2023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46250</v>
      </c>
      <c r="F498" t="inlineStr">
        <is>
          <t>JÖNKÖPINGS LÄN</t>
        </is>
      </c>
      <c r="G498" t="inlineStr">
        <is>
          <t>VÄRNAMO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45553</v>
      </c>
      <c r="E499" s="1" t="n">
        <v>46250</v>
      </c>
      <c r="F499" t="inlineStr">
        <is>
          <t>JÖNKÖPINGS LÄN</t>
        </is>
      </c>
      <c r="G499" t="inlineStr">
        <is>
          <t>VÄRNAMO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45264</v>
      </c>
      <c r="E500" s="1" t="n">
        <v>46250</v>
      </c>
      <c r="F500" t="inlineStr">
        <is>
          <t>JÖNKÖPINGS LÄN</t>
        </is>
      </c>
      <c r="G500" t="inlineStr">
        <is>
          <t>VÄRNAMO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46250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22994-2025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45790</v>
      </c>
      <c r="E502" s="1" t="n">
        <v>46250</v>
      </c>
      <c r="F502" t="inlineStr">
        <is>
          <t>JÖNKÖPINGS LÄN</t>
        </is>
      </c>
      <c r="G502" t="inlineStr">
        <is>
          <t>VÄRNAMO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46172</v>
      </c>
      <c r="E503" s="1" t="n">
        <v>46250</v>
      </c>
      <c r="F503" t="inlineStr">
        <is>
          <t>JÖNKÖPINGS LÄN</t>
        </is>
      </c>
      <c r="G503" t="inlineStr">
        <is>
          <t>VÄRNAMO</t>
        </is>
      </c>
      <c r="I503" t="n">
        <v>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41893-2024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46250</v>
      </c>
      <c r="F504" t="inlineStr">
        <is>
          <t>JÖNKÖPINGS LÄN</t>
        </is>
      </c>
      <c r="G504" t="inlineStr">
        <is>
          <t>VÄRNAMO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46250</v>
      </c>
      <c r="F505" t="inlineStr">
        <is>
          <t>JÖNKÖPINGS LÄN</t>
        </is>
      </c>
      <c r="G505" t="inlineStr">
        <is>
          <t>VÄRNAMO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46250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58293-2023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46250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39656-2023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45167</v>
      </c>
      <c r="E508" s="1" t="n">
        <v>46250</v>
      </c>
      <c r="F508" t="inlineStr">
        <is>
          <t>JÖNKÖPINGS LÄN</t>
        </is>
      </c>
      <c r="G508" t="inlineStr">
        <is>
          <t>VÄRNAMO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45796</v>
      </c>
      <c r="E509" s="1" t="n">
        <v>46250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46250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74310-2021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44559</v>
      </c>
      <c r="E511" s="1" t="n">
        <v>46250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45972</v>
      </c>
      <c r="E512" s="1" t="n">
        <v>46250</v>
      </c>
      <c r="F512" t="inlineStr">
        <is>
          <t>JÖNKÖPINGS LÄN</t>
        </is>
      </c>
      <c r="G512" t="inlineStr">
        <is>
          <t>VÄRNAMO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45517</v>
      </c>
      <c r="E513" s="1" t="n">
        <v>46250</v>
      </c>
      <c r="F513" t="inlineStr">
        <is>
          <t>JÖNKÖPINGS LÄN</t>
        </is>
      </c>
      <c r="G513" t="inlineStr">
        <is>
          <t>VÄRNAMO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45792</v>
      </c>
      <c r="E514" s="1" t="n">
        <v>46250</v>
      </c>
      <c r="F514" t="inlineStr">
        <is>
          <t>JÖNKÖPINGS LÄN</t>
        </is>
      </c>
      <c r="G514" t="inlineStr">
        <is>
          <t>VÄRNAMO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45674</v>
      </c>
      <c r="E515" s="1" t="n">
        <v>46250</v>
      </c>
      <c r="F515" t="inlineStr">
        <is>
          <t>JÖNKÖPINGS LÄN</t>
        </is>
      </c>
      <c r="G515" t="inlineStr">
        <is>
          <t>VÄRNAMO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15105-2026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46101</v>
      </c>
      <c r="E516" s="1" t="n">
        <v>46250</v>
      </c>
      <c r="F516" t="inlineStr">
        <is>
          <t>JÖNKÖPINGS LÄN</t>
        </is>
      </c>
      <c r="G516" t="inlineStr">
        <is>
          <t>VÄRNAMO</t>
        </is>
      </c>
      <c r="I516" t="n">
        <v>58.2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45713</v>
      </c>
      <c r="E517" s="1" t="n">
        <v>46250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44230-2023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46250</v>
      </c>
      <c r="F518" t="inlineStr">
        <is>
          <t>JÖNKÖPINGS LÄN</t>
        </is>
      </c>
      <c r="G518" t="inlineStr">
        <is>
          <t>VÄRNAMO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44642</v>
      </c>
      <c r="E519" s="1" t="n">
        <v>46250</v>
      </c>
      <c r="F519" t="inlineStr">
        <is>
          <t>JÖNKÖPINGS LÄN</t>
        </is>
      </c>
      <c r="G519" t="inlineStr">
        <is>
          <t>VÄRNAMO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44642</v>
      </c>
      <c r="E520" s="1" t="n">
        <v>46250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45800</v>
      </c>
      <c r="E521" s="1" t="n">
        <v>46250</v>
      </c>
      <c r="F521" t="inlineStr">
        <is>
          <t>JÖNKÖPINGS LÄN</t>
        </is>
      </c>
      <c r="G521" t="inlineStr">
        <is>
          <t>VÄRNAMO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20835-2024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46250</v>
      </c>
      <c r="F522" t="inlineStr">
        <is>
          <t>JÖNKÖPINGS LÄN</t>
        </is>
      </c>
      <c r="G522" t="inlineStr">
        <is>
          <t>VÄRNAMO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45750</v>
      </c>
      <c r="E523" s="1" t="n">
        <v>46250</v>
      </c>
      <c r="F523" t="inlineStr">
        <is>
          <t>JÖNKÖPINGS LÄN</t>
        </is>
      </c>
      <c r="G523" t="inlineStr">
        <is>
          <t>VÄRNAMO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46250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45631</v>
      </c>
      <c r="E525" s="1" t="n">
        <v>46250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46250</v>
      </c>
      <c r="F526" t="inlineStr">
        <is>
          <t>JÖNKÖPINGS LÄN</t>
        </is>
      </c>
      <c r="G526" t="inlineStr">
        <is>
          <t>VÄRNAMO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46250</v>
      </c>
      <c r="F527" t="inlineStr">
        <is>
          <t>JÖNKÖPINGS LÄN</t>
        </is>
      </c>
      <c r="G527" t="inlineStr">
        <is>
          <t>VÄRNAMO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10540-2025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45721</v>
      </c>
      <c r="E528" s="1" t="n">
        <v>46250</v>
      </c>
      <c r="F528" t="inlineStr">
        <is>
          <t>JÖNKÖPINGS LÄN</t>
        </is>
      </c>
      <c r="G528" t="inlineStr">
        <is>
          <t>VÄRNAMO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52146-2024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46250</v>
      </c>
      <c r="F529" t="inlineStr">
        <is>
          <t>JÖNKÖPINGS LÄN</t>
        </is>
      </c>
      <c r="G529" t="inlineStr">
        <is>
          <t>VÄRNAMO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52104-2024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46250</v>
      </c>
      <c r="F530" t="inlineStr">
        <is>
          <t>JÖNKÖPINGS LÄN</t>
        </is>
      </c>
      <c r="G530" t="inlineStr">
        <is>
          <t>VÄRNAMO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44566</v>
      </c>
      <c r="E531" s="1" t="n">
        <v>46250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46250</v>
      </c>
      <c r="F532" t="inlineStr">
        <is>
          <t>JÖNKÖPINGS LÄN</t>
        </is>
      </c>
      <c r="G532" t="inlineStr">
        <is>
          <t>VÄRNAMO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46250</v>
      </c>
      <c r="F533" t="inlineStr">
        <is>
          <t>JÖNKÖPINGS LÄN</t>
        </is>
      </c>
      <c r="G533" t="inlineStr">
        <is>
          <t>VÄRNAMO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46250</v>
      </c>
      <c r="F534" t="inlineStr">
        <is>
          <t>JÖNKÖPINGS LÄN</t>
        </is>
      </c>
      <c r="G534" t="inlineStr">
        <is>
          <t>VÄRNAMO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42494-2023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46250</v>
      </c>
      <c r="F535" t="inlineStr">
        <is>
          <t>JÖNKÖPINGS LÄN</t>
        </is>
      </c>
      <c r="G535" t="inlineStr">
        <is>
          <t>VÄRNAMO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45670</v>
      </c>
      <c r="E536" s="1" t="n">
        <v>46250</v>
      </c>
      <c r="F536" t="inlineStr">
        <is>
          <t>JÖNKÖPINGS LÄN</t>
        </is>
      </c>
      <c r="G536" t="inlineStr">
        <is>
          <t>VÄRNAMO</t>
        </is>
      </c>
      <c r="I536" t="n">
        <v>12.6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46250</v>
      </c>
      <c r="F537" t="inlineStr">
        <is>
          <t>JÖNKÖPINGS LÄN</t>
        </is>
      </c>
      <c r="G537" t="inlineStr">
        <is>
          <t>VÄRNAMO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11210-2024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45371</v>
      </c>
      <c r="E538" s="1" t="n">
        <v>46250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46183</v>
      </c>
      <c r="E539" s="1" t="n">
        <v>46250</v>
      </c>
      <c r="F539" t="inlineStr">
        <is>
          <t>JÖNKÖPINGS LÄN</t>
        </is>
      </c>
      <c r="G539" t="inlineStr">
        <is>
          <t>VÄRNAMO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61108-2024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46250</v>
      </c>
      <c r="F540" t="inlineStr">
        <is>
          <t>JÖNKÖPINGS LÄN</t>
        </is>
      </c>
      <c r="G540" t="inlineStr">
        <is>
          <t>VÄRNAMO</t>
        </is>
      </c>
      <c r="I540" t="n">
        <v>13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46250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26222-2026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46250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11428-2024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45372</v>
      </c>
      <c r="E543" s="1" t="n">
        <v>46250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46250</v>
      </c>
      <c r="F544" t="inlineStr">
        <is>
          <t>JÖNKÖPINGS LÄN</t>
        </is>
      </c>
      <c r="G544" t="inlineStr">
        <is>
          <t>VÄRNAMO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45554</v>
      </c>
      <c r="E545" s="1" t="n">
        <v>46250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46230</v>
      </c>
      <c r="E546" s="1" t="n">
        <v>46250</v>
      </c>
      <c r="F546" t="inlineStr">
        <is>
          <t>JÖNKÖPINGS LÄN</t>
        </is>
      </c>
      <c r="G546" t="inlineStr">
        <is>
          <t>VÄRNAMO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46250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46250</v>
      </c>
      <c r="F548" t="inlineStr">
        <is>
          <t>JÖNKÖPINGS LÄN</t>
        </is>
      </c>
      <c r="G548" t="inlineStr">
        <is>
          <t>VÄRNAMO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46250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28890-2025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46250</v>
      </c>
      <c r="F550" t="inlineStr">
        <is>
          <t>JÖNKÖPINGS LÄN</t>
        </is>
      </c>
      <c r="G550" t="inlineStr">
        <is>
          <t>VÄRNAMO</t>
        </is>
      </c>
      <c r="H550" t="inlineStr">
        <is>
          <t>Kyrkan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45044</v>
      </c>
      <c r="E551" s="1" t="n">
        <v>46250</v>
      </c>
      <c r="F551" t="inlineStr">
        <is>
          <t>JÖNKÖPINGS LÄN</t>
        </is>
      </c>
      <c r="G551" t="inlineStr">
        <is>
          <t>VÄRNAMO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46230</v>
      </c>
      <c r="E552" s="1" t="n">
        <v>46250</v>
      </c>
      <c r="F552" t="inlineStr">
        <is>
          <t>JÖNKÖPINGS LÄN</t>
        </is>
      </c>
      <c r="G552" t="inlineStr">
        <is>
          <t>VÄRNAMO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46230</v>
      </c>
      <c r="E553" s="1" t="n">
        <v>46250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7727-2022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44608</v>
      </c>
      <c r="E554" s="1" t="n">
        <v>46250</v>
      </c>
      <c r="F554" t="inlineStr">
        <is>
          <t>JÖNKÖPINGS LÄN</t>
        </is>
      </c>
      <c r="G554" t="inlineStr">
        <is>
          <t>VÄRNAMO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60105-2024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46250</v>
      </c>
      <c r="F555" t="inlineStr">
        <is>
          <t>JÖNKÖPINGS LÄN</t>
        </is>
      </c>
      <c r="G555" t="inlineStr">
        <is>
          <t>VÄRNAMO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46250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45825</v>
      </c>
      <c r="E557" s="1" t="n">
        <v>46250</v>
      </c>
      <c r="F557" t="inlineStr">
        <is>
          <t>JÖNKÖPINGS LÄN</t>
        </is>
      </c>
      <c r="G557" t="inlineStr">
        <is>
          <t>VÄRNAMO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46250</v>
      </c>
      <c r="F558" t="inlineStr">
        <is>
          <t>JÖNKÖPINGS LÄN</t>
        </is>
      </c>
      <c r="G558" t="inlineStr">
        <is>
          <t>VÄRNAMO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27153-2026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46188</v>
      </c>
      <c r="E559" s="1" t="n">
        <v>46250</v>
      </c>
      <c r="F559" t="inlineStr">
        <is>
          <t>JÖNKÖPINGS LÄN</t>
        </is>
      </c>
      <c r="G559" t="inlineStr">
        <is>
          <t>VÄRNAMO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30119-2025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45826</v>
      </c>
      <c r="E560" s="1" t="n">
        <v>46250</v>
      </c>
      <c r="F560" t="inlineStr">
        <is>
          <t>JÖNKÖPINGS LÄN</t>
        </is>
      </c>
      <c r="G560" t="inlineStr">
        <is>
          <t>VÄRNAMO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46250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46250</v>
      </c>
      <c r="F562" t="inlineStr">
        <is>
          <t>JÖNKÖPINGS LÄN</t>
        </is>
      </c>
      <c r="G562" t="inlineStr">
        <is>
          <t>VÄRNAMO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46250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46250</v>
      </c>
      <c r="F564" t="inlineStr">
        <is>
          <t>JÖNKÖPINGS LÄN</t>
        </is>
      </c>
      <c r="G564" t="inlineStr">
        <is>
          <t>VÄRNAMO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31214-2025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46250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46250</v>
      </c>
      <c r="F566" t="inlineStr">
        <is>
          <t>JÖNKÖPINGS LÄN</t>
        </is>
      </c>
      <c r="G566" t="inlineStr">
        <is>
          <t>VÄRNAMO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46250</v>
      </c>
      <c r="F567" t="inlineStr">
        <is>
          <t>JÖNKÖPINGS LÄN</t>
        </is>
      </c>
      <c r="G567" t="inlineStr">
        <is>
          <t>VÄRNAMO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44699</v>
      </c>
      <c r="E568" s="1" t="n">
        <v>46250</v>
      </c>
      <c r="F568" t="inlineStr">
        <is>
          <t>JÖNKÖPINGS LÄN</t>
        </is>
      </c>
      <c r="G568" t="inlineStr">
        <is>
          <t>VÄRNAMO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45659</v>
      </c>
      <c r="E569" s="1" t="n">
        <v>46250</v>
      </c>
      <c r="F569" t="inlineStr">
        <is>
          <t>JÖNKÖPINGS LÄN</t>
        </is>
      </c>
      <c r="G569" t="inlineStr">
        <is>
          <t>VÄRNAMO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46250</v>
      </c>
      <c r="F570" t="inlineStr">
        <is>
          <t>JÖNKÖPINGS LÄN</t>
        </is>
      </c>
      <c r="G570" t="inlineStr">
        <is>
          <t>VÄRNAMO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46191</v>
      </c>
      <c r="E571" s="1" t="n">
        <v>46250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45805</v>
      </c>
      <c r="E572" s="1" t="n">
        <v>46250</v>
      </c>
      <c r="F572" t="inlineStr">
        <is>
          <t>JÖNKÖPINGS LÄN</t>
        </is>
      </c>
      <c r="G572" t="inlineStr">
        <is>
          <t>VÄRNAMO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27685-2026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46250</v>
      </c>
      <c r="F573" t="inlineStr">
        <is>
          <t>JÖNKÖPINGS LÄN</t>
        </is>
      </c>
      <c r="G573" t="inlineStr">
        <is>
          <t>VÄRNAMO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45832</v>
      </c>
      <c r="E574" s="1" t="n">
        <v>46250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45833</v>
      </c>
      <c r="E575" s="1" t="n">
        <v>46250</v>
      </c>
      <c r="F575" t="inlineStr">
        <is>
          <t>JÖNKÖPINGS LÄN</t>
        </is>
      </c>
      <c r="G575" t="inlineStr">
        <is>
          <t>VÄRNAMO</t>
        </is>
      </c>
      <c r="I575" t="n">
        <v>10.1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20199-2022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44698</v>
      </c>
      <c r="E576" s="1" t="n">
        <v>46250</v>
      </c>
      <c r="F576" t="inlineStr">
        <is>
          <t>JÖNKÖPINGS LÄN</t>
        </is>
      </c>
      <c r="G576" t="inlineStr">
        <is>
          <t>VÄRNAMO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46250</v>
      </c>
      <c r="F577" t="inlineStr">
        <is>
          <t>JÖNKÖPINGS LÄN</t>
        </is>
      </c>
      <c r="G577" t="inlineStr">
        <is>
          <t>VÄRNAMO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46250</v>
      </c>
      <c r="F578" t="inlineStr">
        <is>
          <t>JÖNKÖPINGS LÄN</t>
        </is>
      </c>
      <c r="G578" t="inlineStr">
        <is>
          <t>VÄRNAMO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46191</v>
      </c>
      <c r="E579" s="1" t="n">
        <v>46250</v>
      </c>
      <c r="F579" t="inlineStr">
        <is>
          <t>JÖNKÖPINGS LÄN</t>
        </is>
      </c>
      <c r="G579" t="inlineStr">
        <is>
          <t>VÄRNAMO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46250</v>
      </c>
      <c r="F580" t="inlineStr">
        <is>
          <t>JÖNKÖPINGS LÄN</t>
        </is>
      </c>
      <c r="G580" t="inlineStr">
        <is>
          <t>VÄRNAMO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46250</v>
      </c>
      <c r="F581" t="inlineStr">
        <is>
          <t>JÖNKÖPINGS LÄN</t>
        </is>
      </c>
      <c r="G581" t="inlineStr">
        <is>
          <t>VÄRNAMO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46250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45093</v>
      </c>
      <c r="E583" s="1" t="n">
        <v>46250</v>
      </c>
      <c r="F583" t="inlineStr">
        <is>
          <t>JÖNKÖPINGS LÄN</t>
        </is>
      </c>
      <c r="G583" t="inlineStr">
        <is>
          <t>VÄRNAMO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41316-2023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45173</v>
      </c>
      <c r="E584" s="1" t="n">
        <v>46250</v>
      </c>
      <c r="F584" t="inlineStr">
        <is>
          <t>JÖNKÖPINGS LÄN</t>
        </is>
      </c>
      <c r="G584" t="inlineStr">
        <is>
          <t>VÄRNAMO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46250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46238</v>
      </c>
      <c r="E586" s="1" t="n">
        <v>46250</v>
      </c>
      <c r="F586" t="inlineStr">
        <is>
          <t>JÖNKÖPINGS LÄN</t>
        </is>
      </c>
      <c r="G586" t="inlineStr">
        <is>
          <t>VÄRNAMO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32413-2026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46238</v>
      </c>
      <c r="E587" s="1" t="n">
        <v>46250</v>
      </c>
      <c r="F587" t="inlineStr">
        <is>
          <t>JÖNKÖPINGS LÄN</t>
        </is>
      </c>
      <c r="G587" t="inlineStr">
        <is>
          <t>VÄRNAMO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46250</v>
      </c>
      <c r="F588" t="inlineStr">
        <is>
          <t>JÖNKÖPINGS LÄN</t>
        </is>
      </c>
      <c r="G588" t="inlineStr">
        <is>
          <t>VÄRNAMO</t>
        </is>
      </c>
      <c r="H588" t="inlineStr">
        <is>
          <t>Sveaskog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46250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46250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33376-2025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45841</v>
      </c>
      <c r="E591" s="1" t="n">
        <v>46250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46250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46193</v>
      </c>
      <c r="E593" s="1" t="n">
        <v>46250</v>
      </c>
      <c r="F593" t="inlineStr">
        <is>
          <t>JÖNKÖPINGS LÄN</t>
        </is>
      </c>
      <c r="G593" t="inlineStr">
        <is>
          <t>VÄRNAMO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44051-2023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45188</v>
      </c>
      <c r="E594" s="1" t="n">
        <v>46250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46250</v>
      </c>
      <c r="F595" t="inlineStr">
        <is>
          <t>JÖNKÖPINGS LÄN</t>
        </is>
      </c>
      <c r="G595" t="inlineStr">
        <is>
          <t>VÄRNAMO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46250</v>
      </c>
      <c r="F596" t="inlineStr">
        <is>
          <t>JÖNKÖPINGS LÄN</t>
        </is>
      </c>
      <c r="G596" t="inlineStr">
        <is>
          <t>VÄRNAMO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46250</v>
      </c>
      <c r="F597" t="inlineStr">
        <is>
          <t>JÖNKÖPINGS LÄN</t>
        </is>
      </c>
      <c r="G597" t="inlineStr">
        <is>
          <t>VÄRNAMO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46250</v>
      </c>
      <c r="F598" t="inlineStr">
        <is>
          <t>JÖNKÖPINGS LÄN</t>
        </is>
      </c>
      <c r="G598" t="inlineStr">
        <is>
          <t>VÄRNAMO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46250</v>
      </c>
      <c r="F599" t="inlineStr">
        <is>
          <t>JÖNKÖPINGS LÄN</t>
        </is>
      </c>
      <c r="G599" t="inlineStr">
        <is>
          <t>VÄRNAMO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46250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45769</v>
      </c>
      <c r="E601" s="1" t="n">
        <v>46250</v>
      </c>
      <c r="F601" t="inlineStr">
        <is>
          <t>JÖNKÖPINGS LÄN</t>
        </is>
      </c>
      <c r="G601" t="inlineStr">
        <is>
          <t>VÄRNAMO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47054-2024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46250</v>
      </c>
      <c r="F602" t="inlineStr">
        <is>
          <t>JÖNKÖPINGS LÄN</t>
        </is>
      </c>
      <c r="G602" t="inlineStr">
        <is>
          <t>VÄRNAMO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51351-2024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45604</v>
      </c>
      <c r="E603" s="1" t="n">
        <v>46250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35007-2025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45851</v>
      </c>
      <c r="E604" s="1" t="n">
        <v>46250</v>
      </c>
      <c r="F604" t="inlineStr">
        <is>
          <t>JÖNKÖPINGS LÄN</t>
        </is>
      </c>
      <c r="G604" t="inlineStr">
        <is>
          <t>VÄRNAMO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45851</v>
      </c>
      <c r="E605" s="1" t="n">
        <v>46250</v>
      </c>
      <c r="F605" t="inlineStr">
        <is>
          <t>JÖNKÖPINGS LÄN</t>
        </is>
      </c>
      <c r="G605" t="inlineStr">
        <is>
          <t>VÄRNAMO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45853</v>
      </c>
      <c r="E606" s="1" t="n">
        <v>46250</v>
      </c>
      <c r="F606" t="inlineStr">
        <is>
          <t>JÖNKÖPINGS LÄN</t>
        </is>
      </c>
      <c r="G606" t="inlineStr">
        <is>
          <t>VÄRNAMO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45748</v>
      </c>
      <c r="E607" s="1" t="n">
        <v>46250</v>
      </c>
      <c r="F607" t="inlineStr">
        <is>
          <t>JÖNKÖPINGS LÄN</t>
        </is>
      </c>
      <c r="G607" t="inlineStr">
        <is>
          <t>VÄRNAMO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45802</v>
      </c>
      <c r="E608" s="1" t="n">
        <v>46250</v>
      </c>
      <c r="F608" t="inlineStr">
        <is>
          <t>JÖNKÖPINGS LÄN</t>
        </is>
      </c>
      <c r="G608" t="inlineStr">
        <is>
          <t>VÄRNAMO</t>
        </is>
      </c>
      <c r="H608" t="inlineStr">
        <is>
          <t>Övriga Aktiebolag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45873</v>
      </c>
      <c r="E609" s="1" t="n">
        <v>46250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45873</v>
      </c>
      <c r="E610" s="1" t="n">
        <v>46250</v>
      </c>
      <c r="F610" t="inlineStr">
        <is>
          <t>JÖNKÖPINGS LÄN</t>
        </is>
      </c>
      <c r="G610" t="inlineStr">
        <is>
          <t>VÄRNAMO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45876</v>
      </c>
      <c r="E611" s="1" t="n">
        <v>46250</v>
      </c>
      <c r="F611" t="inlineStr">
        <is>
          <t>JÖNKÖPINGS LÄN</t>
        </is>
      </c>
      <c r="G611" t="inlineStr">
        <is>
          <t>VÄRNAMO</t>
        </is>
      </c>
      <c r="I611" t="n">
        <v>14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46250</v>
      </c>
      <c r="F612" t="inlineStr">
        <is>
          <t>JÖNKÖPINGS LÄN</t>
        </is>
      </c>
      <c r="G612" t="inlineStr">
        <is>
          <t>VÄRNAMO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46244</v>
      </c>
      <c r="E613" s="1" t="n">
        <v>46250</v>
      </c>
      <c r="F613" t="inlineStr">
        <is>
          <t>JÖNKÖPINGS LÄN</t>
        </is>
      </c>
      <c r="G613" t="inlineStr">
        <is>
          <t>VÄRNAMO</t>
        </is>
      </c>
      <c r="I613" t="n">
        <v>11.6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46244</v>
      </c>
      <c r="E614" s="1" t="n">
        <v>46250</v>
      </c>
      <c r="F614" t="inlineStr">
        <is>
          <t>JÖNKÖPINGS LÄN</t>
        </is>
      </c>
      <c r="G614" t="inlineStr">
        <is>
          <t>VÄRNAMO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46250</v>
      </c>
      <c r="F615" t="inlineStr">
        <is>
          <t>JÖNKÖPINGS LÄN</t>
        </is>
      </c>
      <c r="G615" t="inlineStr">
        <is>
          <t>VÄRNAMO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46250</v>
      </c>
      <c r="F616" t="inlineStr">
        <is>
          <t>JÖNKÖPINGS LÄN</t>
        </is>
      </c>
      <c r="G616" t="inlineStr">
        <is>
          <t>VÄRNAMO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46250</v>
      </c>
      <c r="F617" t="inlineStr">
        <is>
          <t>JÖNKÖPINGS LÄN</t>
        </is>
      </c>
      <c r="G617" t="inlineStr">
        <is>
          <t>VÄRNAMO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46250</v>
      </c>
      <c r="F618" t="inlineStr">
        <is>
          <t>JÖNKÖPINGS LÄN</t>
        </is>
      </c>
      <c r="G618" t="inlineStr">
        <is>
          <t>VÄRNAMO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46250</v>
      </c>
      <c r="F619" t="inlineStr">
        <is>
          <t>JÖNKÖPINGS LÄN</t>
        </is>
      </c>
      <c r="G619" t="inlineStr">
        <is>
          <t>VÄRNAMO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46250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46250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46250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46250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46250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46250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46250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46250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46250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46250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46250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46250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46250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46250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46250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46250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46250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46250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46250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46250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46250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2026-08-16T01:48:22Z</dcterms:created>
  <dcterms:modified xmlns:dcterms="http://purl.org/dc/terms/" xmlns:xsi="http://www.w3.org/2001/XMLSchema-instance" xsi:type="dcterms:W3CDTF">2026-08-16T01:48:23Z</dcterms:modified>
</cp:coreProperties>
</file>