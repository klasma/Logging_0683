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46305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46305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46305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46305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46305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46305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46305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46305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46305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46305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46305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46305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46305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46305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46305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46305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46305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46305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37198-2024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46305</v>
      </c>
      <c r="F23" t="inlineStr">
        <is>
          <t>JÖNKÖPINGS LÄN</t>
        </is>
      </c>
      <c r="G23" t="inlineStr">
        <is>
          <t>VÄRNAMO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Gullpudra</t>
        </is>
      </c>
      <c r="W23">
        <f>HYPERLINK("https://klasma.github.io/Logging_0683/artfynd/A 37198-2024 artfynd.xlsx", "A 37198-2024")</f>
        <v/>
      </c>
      <c r="X23">
        <f>HYPERLINK("https://klasma.github.io/Logging_0683/kartor/A 37198-2024 karta.png", "A 37198-2024")</f>
        <v/>
      </c>
      <c r="Y23">
        <f>HYPERLINK("https://klasma.github.io/Logging_0683/kartor_geotiff/A 37198-2024 georefererad karta.tif", "A 37198-2024")</f>
        <v/>
      </c>
      <c r="AA23">
        <f>HYPERLINK("https://klasma.github.io/Logging_0683/klagomål/A 37198-2024 FSC-klagomål.docx", "A 37198-2024")</f>
        <v/>
      </c>
      <c r="AB23">
        <f>HYPERLINK("https://klasma.github.io/Logging_0683/klagomålsmail/A 37198-2024 FSC-klagomål mail.docx", "A 37198-2024")</f>
        <v/>
      </c>
      <c r="AC23">
        <f>HYPERLINK("https://klasma.github.io/Logging_0683/tillsyn/A 37198-2024 tillsynsbegäran.docx", "A 37198-2024")</f>
        <v/>
      </c>
      <c r="AD23">
        <f>HYPERLINK("https://klasma.github.io/Logging_0683/tillsynsmail/A 37198-2024 tillsynsbegäran mail.docx", "A 37198-2024")</f>
        <v/>
      </c>
    </row>
    <row r="24" ht="15" customHeight="1">
      <c r="A24" t="inlineStr">
        <is>
          <t>A 63418-2021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46305</v>
      </c>
      <c r="F24" t="inlineStr">
        <is>
          <t>JÖNKÖPINGS LÄN</t>
        </is>
      </c>
      <c r="G24" t="inlineStr">
        <is>
          <t>VÄRNAMO</t>
        </is>
      </c>
      <c r="I24" t="n">
        <v>8.4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Motaggsvamp</t>
        </is>
      </c>
      <c r="W24">
        <f>HYPERLINK("https://klasma.github.io/Logging_0683/artfynd/A 63418-2021 artfynd.xlsx", "A 63418-2021")</f>
        <v/>
      </c>
      <c r="X24">
        <f>HYPERLINK("https://klasma.github.io/Logging_0683/kartor/A 63418-2021 karta.png", "A 63418-2021")</f>
        <v/>
      </c>
      <c r="Y24">
        <f>HYPERLINK("https://klasma.github.io/Logging_0683/kartor_geotiff/A 63418-2021 georefererad karta.tif", "A 63418-2021")</f>
        <v/>
      </c>
      <c r="AA24">
        <f>HYPERLINK("https://klasma.github.io/Logging_0683/klagomål/A 63418-2021 FSC-klagomål.docx", "A 63418-2021")</f>
        <v/>
      </c>
      <c r="AB24">
        <f>HYPERLINK("https://klasma.github.io/Logging_0683/klagomålsmail/A 63418-2021 FSC-klagomål mail.docx", "A 63418-2021")</f>
        <v/>
      </c>
      <c r="AC24">
        <f>HYPERLINK("https://klasma.github.io/Logging_0683/tillsyn/A 63418-2021 tillsynsbegäran.docx", "A 63418-2021")</f>
        <v/>
      </c>
      <c r="AD24">
        <f>HYPERLINK("https://klasma.github.io/Logging_0683/tillsynsmail/A 63418-2021 tillsynsbegäran mail.docx", "A 63418-2021")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46305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46305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46305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46305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46305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46305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46305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23613-2023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46305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HYPERLINK("https://klasma.github.io/Logging_0683/artfynd/A 23613-2023 artfynd.xlsx", "A 23613-2023")</f>
        <v/>
      </c>
      <c r="X32">
        <f>HYPERLINK("https://klasma.github.io/Logging_0683/kartor/A 23613-2023 karta.png", "A 23613-2023")</f>
        <v/>
      </c>
      <c r="Y32">
        <f>HYPERLINK("https://klasma.github.io/Logging_0683/kartor_geotiff/A 23613-2023 georefererad karta.tif", "A 23613-2023")</f>
        <v/>
      </c>
      <c r="AA32">
        <f>HYPERLINK("https://klasma.github.io/Logging_0683/klagomål/A 23613-2023 FSC-klagomål.docx", "A 23613-2023")</f>
        <v/>
      </c>
      <c r="AB32">
        <f>HYPERLINK("https://klasma.github.io/Logging_0683/klagomålsmail/A 23613-2023 FSC-klagomål mail.docx", "A 23613-2023")</f>
        <v/>
      </c>
      <c r="AC32">
        <f>HYPERLINK("https://klasma.github.io/Logging_0683/tillsyn/A 23613-2023 tillsynsbegäran.docx", "A 23613-2023")</f>
        <v/>
      </c>
      <c r="AD32">
        <f>HYPERLINK("https://klasma.github.io/Logging_0683/tillsynsmail/A 23613-2023 tillsynsbegäran mail.docx", "A 23613-2023")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46305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46305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46305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36222-2026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46305</v>
      </c>
      <c r="F36" t="inlineStr">
        <is>
          <t>JÖNKÖPINGS LÄN</t>
        </is>
      </c>
      <c r="G36" t="inlineStr">
        <is>
          <t>VÄRNAMO</t>
        </is>
      </c>
      <c r="I36" t="n">
        <v>4.2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Borsttåg</t>
        </is>
      </c>
      <c r="W36">
        <f>HYPERLINK("https://klasma.github.io/Logging_0683/artfynd/A 36222-2026 artfynd.xlsx", "A 36222-2026")</f>
        <v/>
      </c>
      <c r="X36">
        <f>HYPERLINK("https://klasma.github.io/Logging_0683/kartor/A 36222-2026 karta.png", "A 36222-2026")</f>
        <v/>
      </c>
      <c r="Y36">
        <f>HYPERLINK("https://klasma.github.io/Logging_0683/kartor_geotiff/A 36222-2026 georefererad karta.tif", "A 36222-2026")</f>
        <v/>
      </c>
      <c r="AA36">
        <f>HYPERLINK("https://klasma.github.io/Logging_0683/klagomål/A 36222-2026 FSC-klagomål.docx", "A 36222-2026")</f>
        <v/>
      </c>
      <c r="AB36">
        <f>HYPERLINK("https://klasma.github.io/Logging_0683/klagomålsmail/A 36222-2026 FSC-klagomål mail.docx", "A 36222-2026")</f>
        <v/>
      </c>
      <c r="AC36">
        <f>HYPERLINK("https://klasma.github.io/Logging_0683/tillsyn/A 36222-2026 tillsynsbegäran.docx", "A 36222-2026")</f>
        <v/>
      </c>
      <c r="AD36">
        <f>HYPERLINK("https://klasma.github.io/Logging_0683/tillsynsmail/A 36222-2026 tillsynsbegäran mail.docx", "A 36222-2026")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46305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39126-2026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46287</v>
      </c>
      <c r="E38" s="1" t="n">
        <v>46305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HYPERLINK("https://klasma.github.io/Logging_0683/artfynd/A 39126-2026 artfynd.xlsx", "A 39126-2026")</f>
        <v/>
      </c>
      <c r="X38">
        <f>HYPERLINK("https://klasma.github.io/Logging_0683/kartor/A 39126-2026 karta.png", "A 39126-2026")</f>
        <v/>
      </c>
      <c r="Y38">
        <f>HYPERLINK("https://klasma.github.io/Logging_0683/kartor_geotiff/A 39126-2026 georefererad karta.tif", "A 39126-2026")</f>
        <v/>
      </c>
      <c r="AA38">
        <f>HYPERLINK("https://klasma.github.io/Logging_0683/klagomål/A 39126-2026 FSC-klagomål.docx", "A 39126-2026")</f>
        <v/>
      </c>
      <c r="AB38">
        <f>HYPERLINK("https://klasma.github.io/Logging_0683/klagomålsmail/A 39126-2026 FSC-klagomål mail.docx", "A 39126-2026")</f>
        <v/>
      </c>
      <c r="AC38">
        <f>HYPERLINK("https://klasma.github.io/Logging_0683/tillsyn/A 39126-2026 tillsynsbegäran.docx", "A 39126-2026")</f>
        <v/>
      </c>
      <c r="AD38">
        <f>HYPERLINK("https://klasma.github.io/Logging_0683/tillsynsmail/A 39126-2026 tillsynsbegäran mail.docx", "A 39126-2026")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46305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46305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46305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46305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46305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46305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46305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46305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46305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46305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46305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46305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46305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46305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46305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46305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46305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46305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46305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46305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46305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46305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46305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46305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46305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46305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46305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46305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46305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46305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46305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46305</v>
      </c>
      <c r="F70" t="inlineStr">
        <is>
          <t>JÖNKÖPINGS LÄN</t>
        </is>
      </c>
      <c r="G70" t="inlineStr">
        <is>
          <t>VÄRNAMO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46305</v>
      </c>
      <c r="F71" t="inlineStr">
        <is>
          <t>JÖNKÖPINGS LÄN</t>
        </is>
      </c>
      <c r="G71" t="inlineStr">
        <is>
          <t>VÄRNAMO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46305</v>
      </c>
      <c r="F72" t="inlineStr">
        <is>
          <t>JÖNKÖPINGS LÄN</t>
        </is>
      </c>
      <c r="G72" t="inlineStr">
        <is>
          <t>VÄRNAMO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46305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67881-2021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46305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46305</v>
      </c>
      <c r="F75" t="inlineStr">
        <is>
          <t>JÖNKÖPINGS LÄN</t>
        </is>
      </c>
      <c r="G75" t="inlineStr">
        <is>
          <t>VÄRNAMO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46305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9355-2022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44616</v>
      </c>
      <c r="E77" s="1" t="n">
        <v>46305</v>
      </c>
      <c r="F77" t="inlineStr">
        <is>
          <t>JÖNKÖPINGS LÄN</t>
        </is>
      </c>
      <c r="G77" t="inlineStr">
        <is>
          <t>VÄRNAMO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46305</v>
      </c>
      <c r="F78" t="inlineStr">
        <is>
          <t>JÖNKÖPINGS LÄN</t>
        </is>
      </c>
      <c r="G78" t="inlineStr">
        <is>
          <t>VÄRNAMO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46305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46305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46305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46305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46305</v>
      </c>
      <c r="F83" t="inlineStr">
        <is>
          <t>JÖNKÖPINGS LÄN</t>
        </is>
      </c>
      <c r="G83" t="inlineStr">
        <is>
          <t>VÄRNAMO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46305</v>
      </c>
      <c r="F84" t="inlineStr">
        <is>
          <t>JÖNKÖPINGS LÄN</t>
        </is>
      </c>
      <c r="G84" t="inlineStr">
        <is>
          <t>VÄRNAMO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46305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46305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46305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46305</v>
      </c>
      <c r="F88" t="inlineStr">
        <is>
          <t>JÖNKÖPINGS LÄN</t>
        </is>
      </c>
      <c r="G88" t="inlineStr">
        <is>
          <t>VÄRNAMO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46305</v>
      </c>
      <c r="F89" t="inlineStr">
        <is>
          <t>JÖNKÖPINGS LÄN</t>
        </is>
      </c>
      <c r="G89" t="inlineStr">
        <is>
          <t>VÄRNAMO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46305</v>
      </c>
      <c r="F90" t="inlineStr">
        <is>
          <t>JÖNKÖPINGS LÄN</t>
        </is>
      </c>
      <c r="G90" t="inlineStr">
        <is>
          <t>VÄRNAMO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46305</v>
      </c>
      <c r="F91" t="inlineStr">
        <is>
          <t>JÖNKÖPINGS LÄN</t>
        </is>
      </c>
      <c r="G91" t="inlineStr">
        <is>
          <t>VÄRNAMO</t>
        </is>
      </c>
      <c r="H91" t="inlineStr">
        <is>
          <t>Sveaskog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46305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17678-2023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46305</v>
      </c>
      <c r="F93" t="inlineStr">
        <is>
          <t>JÖNKÖPINGS LÄN</t>
        </is>
      </c>
      <c r="G93" t="inlineStr">
        <is>
          <t>VÄRNAMO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46305</v>
      </c>
      <c r="F94" t="inlineStr">
        <is>
          <t>JÖNKÖPINGS LÄN</t>
        </is>
      </c>
      <c r="G94" t="inlineStr">
        <is>
          <t>VÄRNAMO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45363</v>
      </c>
      <c r="E95" s="1" t="n">
        <v>46305</v>
      </c>
      <c r="F95" t="inlineStr">
        <is>
          <t>JÖNKÖPINGS LÄN</t>
        </is>
      </c>
      <c r="G95" t="inlineStr">
        <is>
          <t>VÄRNAMO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46305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46305</v>
      </c>
      <c r="F97" t="inlineStr">
        <is>
          <t>JÖNKÖPINGS LÄN</t>
        </is>
      </c>
      <c r="G97" t="inlineStr">
        <is>
          <t>VÄRNAMO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46305</v>
      </c>
      <c r="F98" t="inlineStr">
        <is>
          <t>JÖNKÖPINGS LÄN</t>
        </is>
      </c>
      <c r="G98" t="inlineStr">
        <is>
          <t>VÄRNAMO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45328</v>
      </c>
      <c r="E99" s="1" t="n">
        <v>46305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46305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46305</v>
      </c>
      <c r="F101" t="inlineStr">
        <is>
          <t>JÖNKÖPINGS LÄN</t>
        </is>
      </c>
      <c r="G101" t="inlineStr">
        <is>
          <t>VÄRNAMO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40486-2022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44823</v>
      </c>
      <c r="E102" s="1" t="n">
        <v>46305</v>
      </c>
      <c r="F102" t="inlineStr">
        <is>
          <t>JÖNKÖPINGS LÄN</t>
        </is>
      </c>
      <c r="G102" t="inlineStr">
        <is>
          <t>VÄRNAMO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45105</v>
      </c>
      <c r="E103" s="1" t="n">
        <v>46305</v>
      </c>
      <c r="F103" t="inlineStr">
        <is>
          <t>JÖNKÖPINGS LÄN</t>
        </is>
      </c>
      <c r="G103" t="inlineStr">
        <is>
          <t>VÄRNAMO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46305</v>
      </c>
      <c r="F104" t="inlineStr">
        <is>
          <t>JÖNKÖPINGS LÄN</t>
        </is>
      </c>
      <c r="G104" t="inlineStr">
        <is>
          <t>VÄRNAMO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29166-2023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45105</v>
      </c>
      <c r="E105" s="1" t="n">
        <v>46305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46305</v>
      </c>
      <c r="F106" t="inlineStr">
        <is>
          <t>JÖNKÖPINGS LÄN</t>
        </is>
      </c>
      <c r="G106" t="inlineStr">
        <is>
          <t>VÄRNAMO</t>
        </is>
      </c>
      <c r="H106" t="inlineStr">
        <is>
          <t>Kommuner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24703-2022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44727</v>
      </c>
      <c r="E107" s="1" t="n">
        <v>46305</v>
      </c>
      <c r="F107" t="inlineStr">
        <is>
          <t>JÖNKÖPINGS LÄN</t>
        </is>
      </c>
      <c r="G107" t="inlineStr">
        <is>
          <t>VÄRNAMO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45221</v>
      </c>
      <c r="E108" s="1" t="n">
        <v>46305</v>
      </c>
      <c r="F108" t="inlineStr">
        <is>
          <t>JÖNKÖPINGS LÄN</t>
        </is>
      </c>
      <c r="G108" t="inlineStr">
        <is>
          <t>VÄRNAMO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46305</v>
      </c>
      <c r="F109" t="inlineStr">
        <is>
          <t>JÖNKÖPINGS LÄN</t>
        </is>
      </c>
      <c r="G109" t="inlineStr">
        <is>
          <t>VÄRNAMO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46305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46305</v>
      </c>
      <c r="F111" t="inlineStr">
        <is>
          <t>JÖNKÖPINGS LÄN</t>
        </is>
      </c>
      <c r="G111" t="inlineStr">
        <is>
          <t>VÄRNAMO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45324</v>
      </c>
      <c r="E112" s="1" t="n">
        <v>46305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46305</v>
      </c>
      <c r="F113" t="inlineStr">
        <is>
          <t>JÖNKÖPINGS LÄN</t>
        </is>
      </c>
      <c r="G113" t="inlineStr">
        <is>
          <t>VÄRNAMO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45302</v>
      </c>
      <c r="E114" s="1" t="n">
        <v>46305</v>
      </c>
      <c r="F114" t="inlineStr">
        <is>
          <t>JÖNKÖPINGS LÄN</t>
        </is>
      </c>
      <c r="G114" t="inlineStr">
        <is>
          <t>VÄRNAMO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46305</v>
      </c>
      <c r="F115" t="inlineStr">
        <is>
          <t>JÖNKÖPINGS LÄN</t>
        </is>
      </c>
      <c r="G115" t="inlineStr">
        <is>
          <t>VÄRNAMO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29162-2023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45105</v>
      </c>
      <c r="E116" s="1" t="n">
        <v>46305</v>
      </c>
      <c r="F116" t="inlineStr">
        <is>
          <t>JÖNKÖPINGS LÄN</t>
        </is>
      </c>
      <c r="G116" t="inlineStr">
        <is>
          <t>VÄRNAMO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29168-2023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45105</v>
      </c>
      <c r="E117" s="1" t="n">
        <v>46305</v>
      </c>
      <c r="F117" t="inlineStr">
        <is>
          <t>JÖNKÖPINGS LÄN</t>
        </is>
      </c>
      <c r="G117" t="inlineStr">
        <is>
          <t>VÄRNAMO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46305</v>
      </c>
      <c r="F118" t="inlineStr">
        <is>
          <t>JÖNKÖPINGS LÄN</t>
        </is>
      </c>
      <c r="G118" t="inlineStr">
        <is>
          <t>VÄRNAMO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44853</v>
      </c>
      <c r="E119" s="1" t="n">
        <v>46305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46305</v>
      </c>
      <c r="F120" t="inlineStr">
        <is>
          <t>JÖNKÖPINGS LÄN</t>
        </is>
      </c>
      <c r="G120" t="inlineStr">
        <is>
          <t>VÄRNAMO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46305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46305</v>
      </c>
      <c r="F122" t="inlineStr">
        <is>
          <t>JÖNKÖPINGS LÄN</t>
        </is>
      </c>
      <c r="G122" t="inlineStr">
        <is>
          <t>VÄRNAMO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46305</v>
      </c>
      <c r="F123" t="inlineStr">
        <is>
          <t>JÖNKÖPINGS LÄN</t>
        </is>
      </c>
      <c r="G123" t="inlineStr">
        <is>
          <t>VÄRNAMO</t>
        </is>
      </c>
      <c r="H123" t="inlineStr">
        <is>
          <t>Övriga Aktiebolag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46305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46305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46305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46305</v>
      </c>
      <c r="F127" t="inlineStr">
        <is>
          <t>JÖNKÖPINGS LÄN</t>
        </is>
      </c>
      <c r="G127" t="inlineStr">
        <is>
          <t>VÄRNAMO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45446</v>
      </c>
      <c r="E128" s="1" t="n">
        <v>46305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45056</v>
      </c>
      <c r="E129" s="1" t="n">
        <v>46305</v>
      </c>
      <c r="F129" t="inlineStr">
        <is>
          <t>JÖNKÖPINGS LÄN</t>
        </is>
      </c>
      <c r="G129" t="inlineStr">
        <is>
          <t>VÄRNAMO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45401</v>
      </c>
      <c r="E130" s="1" t="n">
        <v>46305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71233-2021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44539</v>
      </c>
      <c r="E131" s="1" t="n">
        <v>46305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44887</v>
      </c>
      <c r="E132" s="1" t="n">
        <v>46305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46305</v>
      </c>
      <c r="F133" t="inlineStr">
        <is>
          <t>JÖNKÖPINGS LÄN</t>
        </is>
      </c>
      <c r="G133" t="inlineStr">
        <is>
          <t>VÄRNAMO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46305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46305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46305</v>
      </c>
      <c r="F136" t="inlineStr">
        <is>
          <t>JÖNKÖPINGS LÄN</t>
        </is>
      </c>
      <c r="G136" t="inlineStr">
        <is>
          <t>VÄRNAMO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46305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54477-2022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44882</v>
      </c>
      <c r="E138" s="1" t="n">
        <v>46305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46305</v>
      </c>
      <c r="F139" t="inlineStr">
        <is>
          <t>JÖNKÖPINGS LÄN</t>
        </is>
      </c>
      <c r="G139" t="inlineStr">
        <is>
          <t>VÄRNAMO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46305</v>
      </c>
      <c r="F140" t="inlineStr">
        <is>
          <t>JÖNKÖPINGS LÄN</t>
        </is>
      </c>
      <c r="G140" t="inlineStr">
        <is>
          <t>VÄRNAMO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45505</v>
      </c>
      <c r="E141" s="1" t="n">
        <v>46305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46305</v>
      </c>
      <c r="F142" t="inlineStr">
        <is>
          <t>JÖNKÖPINGS LÄN</t>
        </is>
      </c>
      <c r="G142" t="inlineStr">
        <is>
          <t>VÄRNAMO</t>
        </is>
      </c>
      <c r="H142" t="inlineStr">
        <is>
          <t>Kommuner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46305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46305</v>
      </c>
      <c r="F144" t="inlineStr">
        <is>
          <t>JÖNKÖPINGS LÄN</t>
        </is>
      </c>
      <c r="G144" t="inlineStr">
        <is>
          <t>VÄRNAMO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46305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46305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44805</v>
      </c>
      <c r="E147" s="1" t="n">
        <v>46305</v>
      </c>
      <c r="F147" t="inlineStr">
        <is>
          <t>JÖNKÖPINGS LÄN</t>
        </is>
      </c>
      <c r="G147" t="inlineStr">
        <is>
          <t>VÄRNAMO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46305</v>
      </c>
      <c r="F148" t="inlineStr">
        <is>
          <t>JÖNKÖPINGS LÄN</t>
        </is>
      </c>
      <c r="G148" t="inlineStr">
        <is>
          <t>VÄRNAMO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45853</v>
      </c>
      <c r="E149" s="1" t="n">
        <v>46305</v>
      </c>
      <c r="F149" t="inlineStr">
        <is>
          <t>JÖNKÖPINGS LÄN</t>
        </is>
      </c>
      <c r="G149" t="inlineStr">
        <is>
          <t>VÄRNAMO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46305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46305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46305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44936</v>
      </c>
      <c r="E153" s="1" t="n">
        <v>46305</v>
      </c>
      <c r="F153" t="inlineStr">
        <is>
          <t>JÖNKÖPINGS LÄN</t>
        </is>
      </c>
      <c r="G153" t="inlineStr">
        <is>
          <t>VÄRNAMO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46305</v>
      </c>
      <c r="F154" t="inlineStr">
        <is>
          <t>JÖNKÖPINGS LÄN</t>
        </is>
      </c>
      <c r="G154" t="inlineStr">
        <is>
          <t>VÄRNAMO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46305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46305</v>
      </c>
      <c r="F156" t="inlineStr">
        <is>
          <t>JÖNKÖPINGS LÄN</t>
        </is>
      </c>
      <c r="G156" t="inlineStr">
        <is>
          <t>VÄRNAMO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46305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46305</v>
      </c>
      <c r="F158" t="inlineStr">
        <is>
          <t>JÖNKÖPINGS LÄN</t>
        </is>
      </c>
      <c r="G158" t="inlineStr">
        <is>
          <t>VÄRNAMO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29382-2024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45483</v>
      </c>
      <c r="E159" s="1" t="n">
        <v>46305</v>
      </c>
      <c r="F159" t="inlineStr">
        <is>
          <t>JÖNKÖPINGS LÄN</t>
        </is>
      </c>
      <c r="G159" t="inlineStr">
        <is>
          <t>VÄRNAMO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46305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46305</v>
      </c>
      <c r="F161" t="inlineStr">
        <is>
          <t>JÖNKÖPINGS LÄN</t>
        </is>
      </c>
      <c r="G161" t="inlineStr">
        <is>
          <t>VÄRNAMO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45674</v>
      </c>
      <c r="E162" s="1" t="n">
        <v>46305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46305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46305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46305</v>
      </c>
      <c r="F165" t="inlineStr">
        <is>
          <t>JÖNKÖPINGS LÄN</t>
        </is>
      </c>
      <c r="G165" t="inlineStr">
        <is>
          <t>VÄRNAMO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46305</v>
      </c>
      <c r="F166" t="inlineStr">
        <is>
          <t>JÖNKÖPINGS LÄN</t>
        </is>
      </c>
      <c r="G166" t="inlineStr">
        <is>
          <t>VÄRNAMO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46305</v>
      </c>
      <c r="F167" t="inlineStr">
        <is>
          <t>JÖNKÖPINGS LÄN</t>
        </is>
      </c>
      <c r="G167" t="inlineStr">
        <is>
          <t>VÄRNAMO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46305</v>
      </c>
      <c r="F168" t="inlineStr">
        <is>
          <t>JÖNKÖPINGS LÄN</t>
        </is>
      </c>
      <c r="G168" t="inlineStr">
        <is>
          <t>VÄRNAMO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46305</v>
      </c>
      <c r="F169" t="inlineStr">
        <is>
          <t>JÖNKÖPINGS LÄN</t>
        </is>
      </c>
      <c r="G169" t="inlineStr">
        <is>
          <t>VÄRNAMO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46305</v>
      </c>
      <c r="F170" t="inlineStr">
        <is>
          <t>JÖNKÖPINGS LÄN</t>
        </is>
      </c>
      <c r="G170" t="inlineStr">
        <is>
          <t>VÄRNAMO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46305</v>
      </c>
      <c r="F171" t="inlineStr">
        <is>
          <t>JÖNKÖPINGS LÄN</t>
        </is>
      </c>
      <c r="G171" t="inlineStr">
        <is>
          <t>VÄRNAMO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46305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46305</v>
      </c>
      <c r="F173" t="inlineStr">
        <is>
          <t>JÖNKÖPINGS LÄN</t>
        </is>
      </c>
      <c r="G173" t="inlineStr">
        <is>
          <t>VÄRNAMO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46305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46305</v>
      </c>
      <c r="F175" t="inlineStr">
        <is>
          <t>JÖNKÖPINGS LÄN</t>
        </is>
      </c>
      <c r="G175" t="inlineStr">
        <is>
          <t>VÄRNAMO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46305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46305</v>
      </c>
      <c r="F177" t="inlineStr">
        <is>
          <t>JÖNKÖPINGS LÄN</t>
        </is>
      </c>
      <c r="G177" t="inlineStr">
        <is>
          <t>VÄRNAMO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46305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46305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46305</v>
      </c>
      <c r="F180" t="inlineStr">
        <is>
          <t>JÖNKÖPINGS LÄN</t>
        </is>
      </c>
      <c r="G180" t="inlineStr">
        <is>
          <t>VÄRNAMO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46305</v>
      </c>
      <c r="F181" t="inlineStr">
        <is>
          <t>JÖNKÖPINGS LÄN</t>
        </is>
      </c>
      <c r="G181" t="inlineStr">
        <is>
          <t>VÄRNAMO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46305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46305</v>
      </c>
      <c r="F183" t="inlineStr">
        <is>
          <t>JÖNKÖPINGS LÄN</t>
        </is>
      </c>
      <c r="G183" t="inlineStr">
        <is>
          <t>VÄRNAMO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46305</v>
      </c>
      <c r="F184" t="inlineStr">
        <is>
          <t>JÖNKÖPINGS LÄN</t>
        </is>
      </c>
      <c r="G184" t="inlineStr">
        <is>
          <t>VÄRNAMO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45114</v>
      </c>
      <c r="E185" s="1" t="n">
        <v>46305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46305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46305</v>
      </c>
      <c r="F187" t="inlineStr">
        <is>
          <t>JÖNKÖPINGS LÄN</t>
        </is>
      </c>
      <c r="G187" t="inlineStr">
        <is>
          <t>VÄRNAMO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46305</v>
      </c>
      <c r="F188" t="inlineStr">
        <is>
          <t>JÖNKÖPINGS LÄN</t>
        </is>
      </c>
      <c r="G188" t="inlineStr">
        <is>
          <t>VÄRNAMO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45160</v>
      </c>
      <c r="E189" s="1" t="n">
        <v>46305</v>
      </c>
      <c r="F189" t="inlineStr">
        <is>
          <t>JÖNKÖPINGS LÄN</t>
        </is>
      </c>
      <c r="G189" t="inlineStr">
        <is>
          <t>VÄRNAMO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46305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46305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46305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46305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46305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46305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46305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46305</v>
      </c>
      <c r="F197" t="inlineStr">
        <is>
          <t>JÖNKÖPINGS LÄN</t>
        </is>
      </c>
      <c r="G197" t="inlineStr">
        <is>
          <t>VÄRNAMO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46305</v>
      </c>
      <c r="F198" t="inlineStr">
        <is>
          <t>JÖNKÖPINGS LÄN</t>
        </is>
      </c>
      <c r="G198" t="inlineStr">
        <is>
          <t>VÄRNAMO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8968-2024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45357</v>
      </c>
      <c r="E199" s="1" t="n">
        <v>46305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46305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46305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46305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46305</v>
      </c>
      <c r="F203" t="inlineStr">
        <is>
          <t>JÖNKÖPINGS LÄN</t>
        </is>
      </c>
      <c r="G203" t="inlineStr">
        <is>
          <t>VÄRNAMO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74102-2021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44557</v>
      </c>
      <c r="E204" s="1" t="n">
        <v>46305</v>
      </c>
      <c r="F204" t="inlineStr">
        <is>
          <t>JÖNKÖPINGS LÄN</t>
        </is>
      </c>
      <c r="G204" t="inlineStr">
        <is>
          <t>VÄRNAMO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46305</v>
      </c>
      <c r="F205" t="inlineStr">
        <is>
          <t>JÖNKÖPINGS LÄN</t>
        </is>
      </c>
      <c r="G205" t="inlineStr">
        <is>
          <t>VÄRNAMO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46305</v>
      </c>
      <c r="F206" t="inlineStr">
        <is>
          <t>JÖNKÖPINGS LÄN</t>
        </is>
      </c>
      <c r="G206" t="inlineStr">
        <is>
          <t>VÄRNAMO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46305</v>
      </c>
      <c r="F207" t="inlineStr">
        <is>
          <t>JÖNKÖPINGS LÄN</t>
        </is>
      </c>
      <c r="G207" t="inlineStr">
        <is>
          <t>VÄRNAMO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46305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46305</v>
      </c>
      <c r="F209" t="inlineStr">
        <is>
          <t>JÖNKÖPINGS LÄN</t>
        </is>
      </c>
      <c r="G209" t="inlineStr">
        <is>
          <t>VÄRNAMO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46305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45167</v>
      </c>
      <c r="E211" s="1" t="n">
        <v>46305</v>
      </c>
      <c r="F211" t="inlineStr">
        <is>
          <t>JÖNKÖPINGS LÄN</t>
        </is>
      </c>
      <c r="G211" t="inlineStr">
        <is>
          <t>VÄRNAMO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46305</v>
      </c>
      <c r="F212" t="inlineStr">
        <is>
          <t>JÖNKÖPINGS LÄN</t>
        </is>
      </c>
      <c r="G212" t="inlineStr">
        <is>
          <t>VÄRNAMO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46305</v>
      </c>
      <c r="F213" t="inlineStr">
        <is>
          <t>JÖNKÖPINGS LÄN</t>
        </is>
      </c>
      <c r="G213" t="inlineStr">
        <is>
          <t>VÄRNAMO</t>
        </is>
      </c>
      <c r="H213" t="inlineStr">
        <is>
          <t>Övriga Aktiebolag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74310-2021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44559</v>
      </c>
      <c r="E214" s="1" t="n">
        <v>46305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45468</v>
      </c>
      <c r="E215" s="1" t="n">
        <v>46305</v>
      </c>
      <c r="F215" t="inlineStr">
        <is>
          <t>JÖNKÖPINGS LÄN</t>
        </is>
      </c>
      <c r="G215" t="inlineStr">
        <is>
          <t>VÄRNAMO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46305</v>
      </c>
      <c r="F216" t="inlineStr">
        <is>
          <t>JÖNKÖPINGS LÄN</t>
        </is>
      </c>
      <c r="G216" t="inlineStr">
        <is>
          <t>VÄRNAMO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46305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46305</v>
      </c>
      <c r="F218" t="inlineStr">
        <is>
          <t>JÖNKÖPINGS LÄN</t>
        </is>
      </c>
      <c r="G218" t="inlineStr">
        <is>
          <t>VÄRNAMO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46305</v>
      </c>
      <c r="F219" t="inlineStr">
        <is>
          <t>JÖNKÖPINGS LÄN</t>
        </is>
      </c>
      <c r="G219" t="inlineStr">
        <is>
          <t>VÄRNAMO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46305</v>
      </c>
      <c r="F220" t="inlineStr">
        <is>
          <t>JÖNKÖPINGS LÄN</t>
        </is>
      </c>
      <c r="G220" t="inlineStr">
        <is>
          <t>VÄRNAMO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46305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44595</v>
      </c>
      <c r="E222" s="1" t="n">
        <v>46305</v>
      </c>
      <c r="F222" t="inlineStr">
        <is>
          <t>JÖNKÖPINGS LÄN</t>
        </is>
      </c>
      <c r="G222" t="inlineStr">
        <is>
          <t>VÄRNAMO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45790</v>
      </c>
      <c r="E223" s="1" t="n">
        <v>46305</v>
      </c>
      <c r="F223" t="inlineStr">
        <is>
          <t>JÖNKÖPINGS LÄN</t>
        </is>
      </c>
      <c r="G223" t="inlineStr">
        <is>
          <t>VÄRNAMO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46305</v>
      </c>
      <c r="F224" t="inlineStr">
        <is>
          <t>JÖNKÖPINGS LÄN</t>
        </is>
      </c>
      <c r="G224" t="inlineStr">
        <is>
          <t>VÄRNAMO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74026-2021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44553</v>
      </c>
      <c r="E225" s="1" t="n">
        <v>46305</v>
      </c>
      <c r="F225" t="inlineStr">
        <is>
          <t>JÖNKÖPINGS LÄN</t>
        </is>
      </c>
      <c r="G225" t="inlineStr">
        <is>
          <t>VÄRNAMO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74027-2021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44553</v>
      </c>
      <c r="E226" s="1" t="n">
        <v>46305</v>
      </c>
      <c r="F226" t="inlineStr">
        <is>
          <t>JÖNKÖPINGS LÄN</t>
        </is>
      </c>
      <c r="G226" t="inlineStr">
        <is>
          <t>VÄRNAMO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46305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45217</v>
      </c>
      <c r="E228" s="1" t="n">
        <v>46305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46305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46305</v>
      </c>
      <c r="F230" t="inlineStr">
        <is>
          <t>JÖNKÖPINGS LÄN</t>
        </is>
      </c>
      <c r="G230" t="inlineStr">
        <is>
          <t>VÄRNAMO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46305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46305</v>
      </c>
      <c r="F232" t="inlineStr">
        <is>
          <t>JÖNKÖPINGS LÄN</t>
        </is>
      </c>
      <c r="G232" t="inlineStr">
        <is>
          <t>VÄRNAMO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46305</v>
      </c>
      <c r="F233" t="inlineStr">
        <is>
          <t>JÖNKÖPINGS LÄN</t>
        </is>
      </c>
      <c r="G233" t="inlineStr">
        <is>
          <t>VÄRNAMO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46305</v>
      </c>
      <c r="F234" t="inlineStr">
        <is>
          <t>JÖNKÖPINGS LÄN</t>
        </is>
      </c>
      <c r="G234" t="inlineStr">
        <is>
          <t>VÄRNAMO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44642</v>
      </c>
      <c r="E235" s="1" t="n">
        <v>46305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46305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46305</v>
      </c>
      <c r="F237" t="inlineStr">
        <is>
          <t>JÖNKÖPINGS LÄN</t>
        </is>
      </c>
      <c r="G237" t="inlineStr">
        <is>
          <t>VÄRNAMO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46305</v>
      </c>
      <c r="F238" t="inlineStr">
        <is>
          <t>JÖNKÖPINGS LÄN</t>
        </is>
      </c>
      <c r="G238" t="inlineStr">
        <is>
          <t>VÄRNAMO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46305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46305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46305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46305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46305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46305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46305</v>
      </c>
      <c r="F245" t="inlineStr">
        <is>
          <t>JÖNKÖPINGS LÄN</t>
        </is>
      </c>
      <c r="G245" t="inlineStr">
        <is>
          <t>VÄRNAMO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46305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46305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44566</v>
      </c>
      <c r="E248" s="1" t="n">
        <v>46305</v>
      </c>
      <c r="F248" t="inlineStr">
        <is>
          <t>JÖNKÖPINGS LÄN</t>
        </is>
      </c>
      <c r="G248" t="inlineStr">
        <is>
          <t>VÄRNAMO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46305</v>
      </c>
      <c r="F249" t="inlineStr">
        <is>
          <t>JÖNKÖPINGS LÄN</t>
        </is>
      </c>
      <c r="G249" t="inlineStr">
        <is>
          <t>VÄRNAMO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46305</v>
      </c>
      <c r="F250" t="inlineStr">
        <is>
          <t>JÖNKÖPINGS LÄN</t>
        </is>
      </c>
      <c r="G250" t="inlineStr">
        <is>
          <t>VÄRNAMO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46305</v>
      </c>
      <c r="F251" t="inlineStr">
        <is>
          <t>JÖNKÖPINGS LÄN</t>
        </is>
      </c>
      <c r="G251" t="inlineStr">
        <is>
          <t>VÄRNAMO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45328</v>
      </c>
      <c r="E252" s="1" t="n">
        <v>46305</v>
      </c>
      <c r="F252" t="inlineStr">
        <is>
          <t>JÖNKÖPINGS LÄN</t>
        </is>
      </c>
      <c r="G252" t="inlineStr">
        <is>
          <t>VÄRNAMO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46305</v>
      </c>
      <c r="F253" t="inlineStr">
        <is>
          <t>JÖNKÖPINGS LÄN</t>
        </is>
      </c>
      <c r="G253" t="inlineStr">
        <is>
          <t>VÄRNAMO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46305</v>
      </c>
      <c r="F254" t="inlineStr">
        <is>
          <t>JÖNKÖPINGS LÄN</t>
        </is>
      </c>
      <c r="G254" t="inlineStr">
        <is>
          <t>VÄRNAMO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11210-2024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45371</v>
      </c>
      <c r="E255" s="1" t="n">
        <v>46305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46305</v>
      </c>
      <c r="F256" t="inlineStr">
        <is>
          <t>JÖNKÖPINGS LÄN</t>
        </is>
      </c>
      <c r="G256" t="inlineStr">
        <is>
          <t>VÄRNAMO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46305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46305</v>
      </c>
      <c r="F258" t="inlineStr">
        <is>
          <t>JÖNKÖPINGS LÄN</t>
        </is>
      </c>
      <c r="G258" t="inlineStr">
        <is>
          <t>VÄRNAMO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46305</v>
      </c>
      <c r="F259" t="inlineStr">
        <is>
          <t>JÖNKÖPINGS LÄN</t>
        </is>
      </c>
      <c r="G259" t="inlineStr">
        <is>
          <t>VÄRNAMO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46305</v>
      </c>
      <c r="F260" t="inlineStr">
        <is>
          <t>JÖNKÖPINGS LÄN</t>
        </is>
      </c>
      <c r="G260" t="inlineStr">
        <is>
          <t>VÄRNAMO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46305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46305</v>
      </c>
      <c r="F262" t="inlineStr">
        <is>
          <t>JÖNKÖPINGS LÄN</t>
        </is>
      </c>
      <c r="G262" t="inlineStr">
        <is>
          <t>VÄRNAMO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46305</v>
      </c>
      <c r="F263" t="inlineStr">
        <is>
          <t>JÖNKÖPINGS LÄN</t>
        </is>
      </c>
      <c r="G263" t="inlineStr">
        <is>
          <t>VÄRNAMO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45372</v>
      </c>
      <c r="E264" s="1" t="n">
        <v>46305</v>
      </c>
      <c r="F264" t="inlineStr">
        <is>
          <t>JÖNKÖPINGS LÄN</t>
        </is>
      </c>
      <c r="G264" t="inlineStr">
        <is>
          <t>VÄRNAMO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46305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46305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45044</v>
      </c>
      <c r="E267" s="1" t="n">
        <v>46305</v>
      </c>
      <c r="F267" t="inlineStr">
        <is>
          <t>JÖNKÖPINGS LÄN</t>
        </is>
      </c>
      <c r="G267" t="inlineStr">
        <is>
          <t>VÄRNAMO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46305</v>
      </c>
      <c r="F268" t="inlineStr">
        <is>
          <t>JÖNKÖPINGS LÄN</t>
        </is>
      </c>
      <c r="G268" t="inlineStr">
        <is>
          <t>VÄRNAMO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44608</v>
      </c>
      <c r="E269" s="1" t="n">
        <v>46305</v>
      </c>
      <c r="F269" t="inlineStr">
        <is>
          <t>JÖNKÖPINGS LÄN</t>
        </is>
      </c>
      <c r="G269" t="inlineStr">
        <is>
          <t>VÄRNAMO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46305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46305</v>
      </c>
      <c r="F271" t="inlineStr">
        <is>
          <t>JÖNKÖPINGS LÄN</t>
        </is>
      </c>
      <c r="G271" t="inlineStr">
        <is>
          <t>VÄRNAMO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45772</v>
      </c>
      <c r="E272" s="1" t="n">
        <v>46305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46305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46305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46305</v>
      </c>
      <c r="F275" t="inlineStr">
        <is>
          <t>JÖNKÖPINGS LÄN</t>
        </is>
      </c>
      <c r="G275" t="inlineStr">
        <is>
          <t>VÄRNAMO</t>
        </is>
      </c>
      <c r="I275" t="n">
        <v>12.6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45607</v>
      </c>
      <c r="E276" s="1" t="n">
        <v>46305</v>
      </c>
      <c r="F276" t="inlineStr">
        <is>
          <t>JÖNKÖPINGS LÄN</t>
        </is>
      </c>
      <c r="G276" t="inlineStr">
        <is>
          <t>VÄRNAMO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46305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44699</v>
      </c>
      <c r="E278" s="1" t="n">
        <v>46305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46305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45270</v>
      </c>
      <c r="E280" s="1" t="n">
        <v>46305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46305</v>
      </c>
      <c r="F281" t="inlineStr">
        <is>
          <t>JÖNKÖPINGS LÄN</t>
        </is>
      </c>
      <c r="G281" t="inlineStr">
        <is>
          <t>VÄRNAMO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44698</v>
      </c>
      <c r="E282" s="1" t="n">
        <v>46305</v>
      </c>
      <c r="F282" t="inlineStr">
        <is>
          <t>JÖNKÖPINGS LÄN</t>
        </is>
      </c>
      <c r="G282" t="inlineStr">
        <is>
          <t>VÄRNAMO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46305</v>
      </c>
      <c r="F283" t="inlineStr">
        <is>
          <t>JÖNKÖPINGS LÄN</t>
        </is>
      </c>
      <c r="G283" t="inlineStr">
        <is>
          <t>VÄRNAMO</t>
        </is>
      </c>
      <c r="H283" t="inlineStr">
        <is>
          <t>Kyrkan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44931</v>
      </c>
      <c r="E284" s="1" t="n">
        <v>46305</v>
      </c>
      <c r="F284" t="inlineStr">
        <is>
          <t>JÖNKÖPINGS LÄN</t>
        </is>
      </c>
      <c r="G284" t="inlineStr">
        <is>
          <t>VÄRNAMO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46305</v>
      </c>
      <c r="F285" t="inlineStr">
        <is>
          <t>JÖNKÖPINGS LÄN</t>
        </is>
      </c>
      <c r="G285" t="inlineStr">
        <is>
          <t>VÄRNAMO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46305</v>
      </c>
      <c r="F286" t="inlineStr">
        <is>
          <t>JÖNKÖPINGS LÄN</t>
        </is>
      </c>
      <c r="G286" t="inlineStr">
        <is>
          <t>VÄRNAMO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46305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46305</v>
      </c>
      <c r="F288" t="inlineStr">
        <is>
          <t>JÖNKÖPINGS LÄN</t>
        </is>
      </c>
      <c r="G288" t="inlineStr">
        <is>
          <t>VÄRNAMO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45959</v>
      </c>
      <c r="E289" s="1" t="n">
        <v>46305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46305</v>
      </c>
      <c r="F290" t="inlineStr">
        <is>
          <t>JÖNKÖPINGS LÄN</t>
        </is>
      </c>
      <c r="G290" t="inlineStr">
        <is>
          <t>VÄRNAMO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44929</v>
      </c>
      <c r="E291" s="1" t="n">
        <v>46305</v>
      </c>
      <c r="F291" t="inlineStr">
        <is>
          <t>JÖNKÖPINGS LÄN</t>
        </is>
      </c>
      <c r="G291" t="inlineStr">
        <is>
          <t>VÄRNAMO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46305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68171-2021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44526</v>
      </c>
      <c r="E293" s="1" t="n">
        <v>46305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45044</v>
      </c>
      <c r="E294" s="1" t="n">
        <v>46305</v>
      </c>
      <c r="F294" t="inlineStr">
        <is>
          <t>JÖNKÖPINGS LÄN</t>
        </is>
      </c>
      <c r="G294" t="inlineStr">
        <is>
          <t>VÄRNAMO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46305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46305</v>
      </c>
      <c r="F296" t="inlineStr">
        <is>
          <t>JÖNKÖPINGS LÄN</t>
        </is>
      </c>
      <c r="G296" t="inlineStr">
        <is>
          <t>VÄRNAMO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44722</v>
      </c>
      <c r="E297" s="1" t="n">
        <v>46305</v>
      </c>
      <c r="F297" t="inlineStr">
        <is>
          <t>JÖNKÖPINGS LÄN</t>
        </is>
      </c>
      <c r="G297" t="inlineStr">
        <is>
          <t>VÄRNAMO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46305</v>
      </c>
      <c r="F298" t="inlineStr">
        <is>
          <t>JÖNKÖPINGS LÄN</t>
        </is>
      </c>
      <c r="G298" t="inlineStr">
        <is>
          <t>VÄRNAMO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14439-2023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45012</v>
      </c>
      <c r="E299" s="1" t="n">
        <v>46305</v>
      </c>
      <c r="F299" t="inlineStr">
        <is>
          <t>JÖNKÖPINGS LÄN</t>
        </is>
      </c>
      <c r="G299" t="inlineStr">
        <is>
          <t>VÄRNAMO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46305</v>
      </c>
      <c r="F300" t="inlineStr">
        <is>
          <t>JÖNKÖPINGS LÄN</t>
        </is>
      </c>
      <c r="G300" t="inlineStr">
        <is>
          <t>VÄRNAMO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46305</v>
      </c>
      <c r="F301" t="inlineStr">
        <is>
          <t>JÖNKÖPINGS LÄN</t>
        </is>
      </c>
      <c r="G301" t="inlineStr">
        <is>
          <t>VÄRNAMO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46305</v>
      </c>
      <c r="F302" t="inlineStr">
        <is>
          <t>JÖNKÖPINGS LÄN</t>
        </is>
      </c>
      <c r="G302" t="inlineStr">
        <is>
          <t>VÄRNAMO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46305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46305</v>
      </c>
      <c r="F304" t="inlineStr">
        <is>
          <t>JÖNKÖPINGS LÄN</t>
        </is>
      </c>
      <c r="G304" t="inlineStr">
        <is>
          <t>VÄRNAMO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46305</v>
      </c>
      <c r="F305" t="inlineStr">
        <is>
          <t>JÖNKÖPINGS LÄN</t>
        </is>
      </c>
      <c r="G305" t="inlineStr">
        <is>
          <t>VÄRNAMO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45805</v>
      </c>
      <c r="E306" s="1" t="n">
        <v>46305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46305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46305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46305</v>
      </c>
      <c r="F309" t="inlineStr">
        <is>
          <t>JÖNKÖPINGS LÄN</t>
        </is>
      </c>
      <c r="G309" t="inlineStr">
        <is>
          <t>VÄRNAMO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44678</v>
      </c>
      <c r="E310" s="1" t="n">
        <v>46305</v>
      </c>
      <c r="F310" t="inlineStr">
        <is>
          <t>JÖNKÖPINGS LÄN</t>
        </is>
      </c>
      <c r="G310" t="inlineStr">
        <is>
          <t>VÄRNAMO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46305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46305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46305</v>
      </c>
      <c r="F313" t="inlineStr">
        <is>
          <t>JÖNKÖPINGS LÄN</t>
        </is>
      </c>
      <c r="G313" t="inlineStr">
        <is>
          <t>VÄRNAMO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46305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46305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45239</v>
      </c>
      <c r="E316" s="1" t="n">
        <v>46305</v>
      </c>
      <c r="F316" t="inlineStr">
        <is>
          <t>JÖNKÖPINGS LÄN</t>
        </is>
      </c>
      <c r="G316" t="inlineStr">
        <is>
          <t>VÄRNAMO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46305</v>
      </c>
      <c r="F317" t="inlineStr">
        <is>
          <t>JÖNKÖPINGS LÄN</t>
        </is>
      </c>
      <c r="G317" t="inlineStr">
        <is>
          <t>VÄRNAMO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46305</v>
      </c>
      <c r="F318" t="inlineStr">
        <is>
          <t>JÖNKÖPINGS LÄN</t>
        </is>
      </c>
      <c r="G318" t="inlineStr">
        <is>
          <t>VÄRNAMO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46305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46305</v>
      </c>
      <c r="F320" t="inlineStr">
        <is>
          <t>JÖNKÖPINGS LÄN</t>
        </is>
      </c>
      <c r="G320" t="inlineStr">
        <is>
          <t>VÄRNAMO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46305</v>
      </c>
      <c r="F321" t="inlineStr">
        <is>
          <t>JÖNKÖPINGS LÄN</t>
        </is>
      </c>
      <c r="G321" t="inlineStr">
        <is>
          <t>VÄRNAMO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44851</v>
      </c>
      <c r="E322" s="1" t="n">
        <v>46305</v>
      </c>
      <c r="F322" t="inlineStr">
        <is>
          <t>JÖNKÖPINGS LÄN</t>
        </is>
      </c>
      <c r="G322" t="inlineStr">
        <is>
          <t>VÄRNAMO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46305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46305</v>
      </c>
      <c r="F324" t="inlineStr">
        <is>
          <t>JÖNKÖPINGS LÄN</t>
        </is>
      </c>
      <c r="G324" t="inlineStr">
        <is>
          <t>VÄRNAMO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46305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46305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46305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46305</v>
      </c>
      <c r="F328" t="inlineStr">
        <is>
          <t>JÖNKÖPINGS LÄN</t>
        </is>
      </c>
      <c r="G328" t="inlineStr">
        <is>
          <t>VÄRNAMO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46305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46305</v>
      </c>
      <c r="F330" t="inlineStr">
        <is>
          <t>JÖNKÖPINGS LÄN</t>
        </is>
      </c>
      <c r="G330" t="inlineStr">
        <is>
          <t>VÄRNAMO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46305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46305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46305</v>
      </c>
      <c r="F333" t="inlineStr">
        <is>
          <t>JÖNKÖPINGS LÄN</t>
        </is>
      </c>
      <c r="G333" t="inlineStr">
        <is>
          <t>VÄRNAMO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44729</v>
      </c>
      <c r="E334" s="1" t="n">
        <v>46305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46305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44686</v>
      </c>
      <c r="E336" s="1" t="n">
        <v>46305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46305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45604</v>
      </c>
      <c r="E338" s="1" t="n">
        <v>46305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46305</v>
      </c>
      <c r="F339" t="inlineStr">
        <is>
          <t>JÖNKÖPINGS LÄN</t>
        </is>
      </c>
      <c r="G339" t="inlineStr">
        <is>
          <t>VÄRNAMO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46305</v>
      </c>
      <c r="F340" t="inlineStr">
        <is>
          <t>JÖNKÖPINGS LÄN</t>
        </is>
      </c>
      <c r="G340" t="inlineStr">
        <is>
          <t>VÄRNAMO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45853</v>
      </c>
      <c r="E341" s="1" t="n">
        <v>46305</v>
      </c>
      <c r="F341" t="inlineStr">
        <is>
          <t>JÖNKÖPINGS LÄN</t>
        </is>
      </c>
      <c r="G341" t="inlineStr">
        <is>
          <t>VÄRNAMO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45189</v>
      </c>
      <c r="E342" s="1" t="n">
        <v>46305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45748</v>
      </c>
      <c r="E343" s="1" t="n">
        <v>46305</v>
      </c>
      <c r="F343" t="inlineStr">
        <is>
          <t>JÖNKÖPINGS LÄN</t>
        </is>
      </c>
      <c r="G343" t="inlineStr">
        <is>
          <t>VÄRNAMO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46305</v>
      </c>
      <c r="F344" t="inlineStr">
        <is>
          <t>JÖNKÖPINGS LÄN</t>
        </is>
      </c>
      <c r="G344" t="inlineStr">
        <is>
          <t>VÄRNAMO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46305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46305</v>
      </c>
      <c r="F346" t="inlineStr">
        <is>
          <t>JÖNKÖPINGS LÄN</t>
        </is>
      </c>
      <c r="G346" t="inlineStr">
        <is>
          <t>VÄRNAMO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45272</v>
      </c>
      <c r="E347" s="1" t="n">
        <v>46305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45320</v>
      </c>
      <c r="E348" s="1" t="n">
        <v>46305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44722</v>
      </c>
      <c r="E349" s="1" t="n">
        <v>46305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46305</v>
      </c>
      <c r="F350" t="inlineStr">
        <is>
          <t>JÖNKÖPINGS LÄN</t>
        </is>
      </c>
      <c r="G350" t="inlineStr">
        <is>
          <t>VÄRNAMO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46305</v>
      </c>
      <c r="F351" t="inlineStr">
        <is>
          <t>JÖNKÖPINGS LÄN</t>
        </is>
      </c>
      <c r="G351" t="inlineStr">
        <is>
          <t>VÄRNAMO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46305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35120-2022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46305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45802</v>
      </c>
      <c r="E354" s="1" t="n">
        <v>46305</v>
      </c>
      <c r="F354" t="inlineStr">
        <is>
          <t>JÖNKÖPINGS LÄN</t>
        </is>
      </c>
      <c r="G354" t="inlineStr">
        <is>
          <t>VÄRNAMO</t>
        </is>
      </c>
      <c r="H354" t="inlineStr">
        <is>
          <t>Övriga Aktiebolag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48697-2022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44859</v>
      </c>
      <c r="E355" s="1" t="n">
        <v>46305</v>
      </c>
      <c r="F355" t="inlineStr">
        <is>
          <t>JÖNKÖPINGS LÄN</t>
        </is>
      </c>
      <c r="G355" t="inlineStr">
        <is>
          <t>VÄRNAMO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46305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46305</v>
      </c>
      <c r="F357" t="inlineStr">
        <is>
          <t>JÖNKÖPINGS LÄN</t>
        </is>
      </c>
      <c r="G357" t="inlineStr">
        <is>
          <t>VÄRNAMO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46305</v>
      </c>
      <c r="F358" t="inlineStr">
        <is>
          <t>JÖNKÖPINGS LÄN</t>
        </is>
      </c>
      <c r="G358" t="inlineStr">
        <is>
          <t>VÄRNAMO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46305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24702-2022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46305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46305</v>
      </c>
      <c r="F361" t="inlineStr">
        <is>
          <t>JÖNKÖPINGS LÄN</t>
        </is>
      </c>
      <c r="G361" t="inlineStr">
        <is>
          <t>VÄRNAMO</t>
        </is>
      </c>
      <c r="H361" t="inlineStr">
        <is>
          <t>Övriga Aktiebolag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46305</v>
      </c>
      <c r="F362" t="inlineStr">
        <is>
          <t>JÖNKÖPINGS LÄN</t>
        </is>
      </c>
      <c r="G362" t="inlineStr">
        <is>
          <t>VÄRNAMO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46305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45876</v>
      </c>
      <c r="E364" s="1" t="n">
        <v>46305</v>
      </c>
      <c r="F364" t="inlineStr">
        <is>
          <t>JÖNKÖPINGS LÄN</t>
        </is>
      </c>
      <c r="G364" t="inlineStr">
        <is>
          <t>VÄRNAMO</t>
        </is>
      </c>
      <c r="I364" t="n">
        <v>14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64002-2023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45278</v>
      </c>
      <c r="E365" s="1" t="n">
        <v>46305</v>
      </c>
      <c r="F365" t="inlineStr">
        <is>
          <t>JÖNKÖPINGS LÄN</t>
        </is>
      </c>
      <c r="G365" t="inlineStr">
        <is>
          <t>VÄRNAMO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46305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46305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45200</v>
      </c>
      <c r="E368" s="1" t="n">
        <v>46305</v>
      </c>
      <c r="F368" t="inlineStr">
        <is>
          <t>JÖNKÖPINGS LÄN</t>
        </is>
      </c>
      <c r="G368" t="inlineStr">
        <is>
          <t>VÄRNAMO</t>
        </is>
      </c>
      <c r="H368" t="inlineStr">
        <is>
          <t>Övriga Aktiebolag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46305</v>
      </c>
      <c r="F369" t="inlineStr">
        <is>
          <t>JÖNKÖPINGS LÄN</t>
        </is>
      </c>
      <c r="G369" t="inlineStr">
        <is>
          <t>VÄRNAMO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46305</v>
      </c>
      <c r="F370" t="inlineStr">
        <is>
          <t>JÖNKÖPINGS LÄN</t>
        </is>
      </c>
      <c r="G370" t="inlineStr">
        <is>
          <t>VÄRNAMO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46305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45509</v>
      </c>
      <c r="E372" s="1" t="n">
        <v>46305</v>
      </c>
      <c r="F372" t="inlineStr">
        <is>
          <t>JÖNKÖPINGS LÄN</t>
        </is>
      </c>
      <c r="G372" t="inlineStr">
        <is>
          <t>VÄRNAMO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46305</v>
      </c>
      <c r="F373" t="inlineStr">
        <is>
          <t>JÖNKÖPINGS LÄN</t>
        </is>
      </c>
      <c r="G373" t="inlineStr">
        <is>
          <t>VÄRNAMO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46305</v>
      </c>
      <c r="F374" t="inlineStr">
        <is>
          <t>JÖNKÖPINGS LÄN</t>
        </is>
      </c>
      <c r="G374" t="inlineStr">
        <is>
          <t>VÄRNAMO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46305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46305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46305</v>
      </c>
      <c r="F377" t="inlineStr">
        <is>
          <t>JÖNKÖPINGS LÄN</t>
        </is>
      </c>
      <c r="G377" t="inlineStr">
        <is>
          <t>VÄRNAMO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46305</v>
      </c>
      <c r="F378" t="inlineStr">
        <is>
          <t>JÖNKÖPINGS LÄN</t>
        </is>
      </c>
      <c r="G378" t="inlineStr">
        <is>
          <t>VÄRNAMO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46305</v>
      </c>
      <c r="F379" t="inlineStr">
        <is>
          <t>JÖNKÖPINGS LÄN</t>
        </is>
      </c>
      <c r="G379" t="inlineStr">
        <is>
          <t>VÄRNAMO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46305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46305</v>
      </c>
      <c r="F381" t="inlineStr">
        <is>
          <t>JÖNKÖPINGS LÄN</t>
        </is>
      </c>
      <c r="G381" t="inlineStr">
        <is>
          <t>VÄRNAMO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46305</v>
      </c>
      <c r="F382" t="inlineStr">
        <is>
          <t>JÖNKÖPINGS LÄN</t>
        </is>
      </c>
      <c r="G382" t="inlineStr">
        <is>
          <t>VÄRNAMO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46305</v>
      </c>
      <c r="F383" t="inlineStr">
        <is>
          <t>JÖNKÖPINGS LÄN</t>
        </is>
      </c>
      <c r="G383" t="inlineStr">
        <is>
          <t>VÄRNAMO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45302</v>
      </c>
      <c r="E384" s="1" t="n">
        <v>46305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46305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53533-2023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45223</v>
      </c>
      <c r="E386" s="1" t="n">
        <v>46305</v>
      </c>
      <c r="F386" t="inlineStr">
        <is>
          <t>JÖNKÖPINGS LÄN</t>
        </is>
      </c>
      <c r="G386" t="inlineStr">
        <is>
          <t>VÄRNAMO</t>
        </is>
      </c>
      <c r="H386" t="inlineStr">
        <is>
          <t>Kyrkan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45446</v>
      </c>
      <c r="E387" s="1" t="n">
        <v>46305</v>
      </c>
      <c r="F387" t="inlineStr">
        <is>
          <t>JÖNKÖPINGS LÄN</t>
        </is>
      </c>
      <c r="G387" t="inlineStr">
        <is>
          <t>VÄRNAMO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46305</v>
      </c>
      <c r="F388" t="inlineStr">
        <is>
          <t>JÖNKÖPINGS LÄN</t>
        </is>
      </c>
      <c r="G388" t="inlineStr">
        <is>
          <t>VÄRNAMO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46305</v>
      </c>
      <c r="F389" t="inlineStr">
        <is>
          <t>JÖNKÖPINGS LÄN</t>
        </is>
      </c>
      <c r="G389" t="inlineStr">
        <is>
          <t>VÄRNAMO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46305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46305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46305</v>
      </c>
      <c r="F392" t="inlineStr">
        <is>
          <t>JÖNKÖPINGS LÄN</t>
        </is>
      </c>
      <c r="G392" t="inlineStr">
        <is>
          <t>VÄRNAMO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46305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46305</v>
      </c>
      <c r="F394" t="inlineStr">
        <is>
          <t>JÖNKÖPINGS LÄN</t>
        </is>
      </c>
      <c r="G394" t="inlineStr">
        <is>
          <t>VÄRNAMO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46305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46305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46305</v>
      </c>
      <c r="F397" t="inlineStr">
        <is>
          <t>JÖNKÖPINGS LÄN</t>
        </is>
      </c>
      <c r="G397" t="inlineStr">
        <is>
          <t>VÄRNAMO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46305</v>
      </c>
      <c r="F398" t="inlineStr">
        <is>
          <t>JÖNKÖPINGS LÄN</t>
        </is>
      </c>
      <c r="G398" t="inlineStr">
        <is>
          <t>VÄRNAMO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46305</v>
      </c>
      <c r="F399" t="inlineStr">
        <is>
          <t>JÖNKÖPINGS LÄN</t>
        </is>
      </c>
      <c r="G399" t="inlineStr">
        <is>
          <t>VÄRNAMO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46305</v>
      </c>
      <c r="F400" t="inlineStr">
        <is>
          <t>JÖNKÖPINGS LÄN</t>
        </is>
      </c>
      <c r="G400" t="inlineStr">
        <is>
          <t>VÄRNAMO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51463-2022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44869</v>
      </c>
      <c r="E401" s="1" t="n">
        <v>46305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15101-2026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46101</v>
      </c>
      <c r="E402" s="1" t="n">
        <v>46305</v>
      </c>
      <c r="F402" t="inlineStr">
        <is>
          <t>JÖNKÖPINGS LÄN</t>
        </is>
      </c>
      <c r="G402" t="inlineStr">
        <is>
          <t>VÄRNAMO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46305</v>
      </c>
      <c r="F403" t="inlineStr">
        <is>
          <t>JÖNKÖPINGS LÄN</t>
        </is>
      </c>
      <c r="G403" t="inlineStr">
        <is>
          <t>VÄRNAMO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46305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46305</v>
      </c>
      <c r="F405" t="inlineStr">
        <is>
          <t>JÖNKÖPINGS LÄN</t>
        </is>
      </c>
      <c r="G405" t="inlineStr">
        <is>
          <t>VÄRNAMO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46305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44652</v>
      </c>
      <c r="E407" s="1" t="n">
        <v>46305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46305</v>
      </c>
      <c r="F408" t="inlineStr">
        <is>
          <t>JÖNKÖPINGS LÄN</t>
        </is>
      </c>
      <c r="G408" t="inlineStr">
        <is>
          <t>VÄRNAMO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46001</v>
      </c>
      <c r="E409" s="1" t="n">
        <v>46305</v>
      </c>
      <c r="F409" t="inlineStr">
        <is>
          <t>JÖNKÖPINGS LÄN</t>
        </is>
      </c>
      <c r="G409" t="inlineStr">
        <is>
          <t>VÄRNAMO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46305</v>
      </c>
      <c r="F410" t="inlineStr">
        <is>
          <t>JÖNKÖPINGS LÄN</t>
        </is>
      </c>
      <c r="G410" t="inlineStr">
        <is>
          <t>VÄRNAMO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44677-2022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44840</v>
      </c>
      <c r="E411" s="1" t="n">
        <v>46305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45443</v>
      </c>
      <c r="E412" s="1" t="n">
        <v>46305</v>
      </c>
      <c r="F412" t="inlineStr">
        <is>
          <t>JÖNKÖPINGS LÄN</t>
        </is>
      </c>
      <c r="G412" t="inlineStr">
        <is>
          <t>VÄRNAMO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46305</v>
      </c>
      <c r="F413" t="inlineStr">
        <is>
          <t>JÖNKÖPINGS LÄN</t>
        </is>
      </c>
      <c r="G413" t="inlineStr">
        <is>
          <t>VÄRNAMO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44985</v>
      </c>
      <c r="E414" s="1" t="n">
        <v>46305</v>
      </c>
      <c r="F414" t="inlineStr">
        <is>
          <t>JÖNKÖPINGS LÄN</t>
        </is>
      </c>
      <c r="G414" t="inlineStr">
        <is>
          <t>VÄRNAMO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46305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46305</v>
      </c>
      <c r="F416" t="inlineStr">
        <is>
          <t>JÖNKÖPINGS LÄN</t>
        </is>
      </c>
      <c r="G416" t="inlineStr">
        <is>
          <t>VÄRNAMO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46305</v>
      </c>
      <c r="F417" t="inlineStr">
        <is>
          <t>JÖNKÖPINGS LÄN</t>
        </is>
      </c>
      <c r="G417" t="inlineStr">
        <is>
          <t>VÄRNAMO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46305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45607</v>
      </c>
      <c r="E419" s="1" t="n">
        <v>46305</v>
      </c>
      <c r="F419" t="inlineStr">
        <is>
          <t>JÖNKÖPINGS LÄN</t>
        </is>
      </c>
      <c r="G419" t="inlineStr">
        <is>
          <t>VÄRNAMO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45200</v>
      </c>
      <c r="E420" s="1" t="n">
        <v>46305</v>
      </c>
      <c r="F420" t="inlineStr">
        <is>
          <t>JÖNKÖPINGS LÄN</t>
        </is>
      </c>
      <c r="G420" t="inlineStr">
        <is>
          <t>VÄRNAMO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45622</v>
      </c>
      <c r="E421" s="1" t="n">
        <v>46305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46305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46305</v>
      </c>
      <c r="F423" t="inlineStr">
        <is>
          <t>JÖNKÖPINGS LÄN</t>
        </is>
      </c>
      <c r="G423" t="inlineStr">
        <is>
          <t>VÄRNAMO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46305</v>
      </c>
      <c r="F424" t="inlineStr">
        <is>
          <t>JÖNKÖPINGS LÄN</t>
        </is>
      </c>
      <c r="G424" t="inlineStr">
        <is>
          <t>VÄRNAMO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46305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46305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46305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46305</v>
      </c>
      <c r="F428" t="inlineStr">
        <is>
          <t>JÖNKÖPINGS LÄN</t>
        </is>
      </c>
      <c r="G428" t="inlineStr">
        <is>
          <t>VÄRNAMO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45308</v>
      </c>
      <c r="E429" s="1" t="n">
        <v>46305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46305</v>
      </c>
      <c r="F430" t="inlineStr">
        <is>
          <t>JÖNKÖPINGS LÄN</t>
        </is>
      </c>
      <c r="G430" t="inlineStr">
        <is>
          <t>VÄRNAMO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46305</v>
      </c>
      <c r="F431" t="inlineStr">
        <is>
          <t>JÖNKÖPINGS LÄN</t>
        </is>
      </c>
      <c r="G431" t="inlineStr">
        <is>
          <t>VÄRNAMO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46305</v>
      </c>
      <c r="F432" t="inlineStr">
        <is>
          <t>JÖNKÖPINGS LÄN</t>
        </is>
      </c>
      <c r="G432" t="inlineStr">
        <is>
          <t>VÄRNAMO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46305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44501</v>
      </c>
      <c r="E434" s="1" t="n">
        <v>46305</v>
      </c>
      <c r="F434" t="inlineStr">
        <is>
          <t>JÖNKÖPINGS LÄN</t>
        </is>
      </c>
      <c r="G434" t="inlineStr">
        <is>
          <t>VÄRNAMO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62276-2023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45267</v>
      </c>
      <c r="E435" s="1" t="n">
        <v>46305</v>
      </c>
      <c r="F435" t="inlineStr">
        <is>
          <t>JÖNKÖPINGS LÄN</t>
        </is>
      </c>
      <c r="G435" t="inlineStr">
        <is>
          <t>VÄRNAMO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46305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45043</v>
      </c>
      <c r="E437" s="1" t="n">
        <v>46305</v>
      </c>
      <c r="F437" t="inlineStr">
        <is>
          <t>JÖNKÖPINGS LÄN</t>
        </is>
      </c>
      <c r="G437" t="inlineStr">
        <is>
          <t>VÄRNAMO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44616</v>
      </c>
      <c r="E438" s="1" t="n">
        <v>46305</v>
      </c>
      <c r="F438" t="inlineStr">
        <is>
          <t>JÖNKÖPINGS LÄN</t>
        </is>
      </c>
      <c r="G438" t="inlineStr">
        <is>
          <t>VÄRNAMO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46305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46029</v>
      </c>
      <c r="E440" s="1" t="n">
        <v>46305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46305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46305</v>
      </c>
      <c r="F442" t="inlineStr">
        <is>
          <t>JÖNKÖPINGS LÄN</t>
        </is>
      </c>
      <c r="G442" t="inlineStr">
        <is>
          <t>VÄRNAMO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45245</v>
      </c>
      <c r="E443" s="1" t="n">
        <v>46305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46305</v>
      </c>
      <c r="F444" t="inlineStr">
        <is>
          <t>JÖNKÖPINGS LÄN</t>
        </is>
      </c>
      <c r="G444" t="inlineStr">
        <is>
          <t>VÄRNAMO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46305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45221</v>
      </c>
      <c r="E446" s="1" t="n">
        <v>46305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46305</v>
      </c>
      <c r="F447" t="inlineStr">
        <is>
          <t>JÖNKÖPINGS LÄN</t>
        </is>
      </c>
      <c r="G447" t="inlineStr">
        <is>
          <t>VÄRNAMO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46305</v>
      </c>
      <c r="F448" t="inlineStr">
        <is>
          <t>JÖNKÖPINGS LÄN</t>
        </is>
      </c>
      <c r="G448" t="inlineStr">
        <is>
          <t>VÄRNAMO</t>
        </is>
      </c>
      <c r="H448" t="inlineStr">
        <is>
          <t>Kommuner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46305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46305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45509</v>
      </c>
      <c r="E451" s="1" t="n">
        <v>46305</v>
      </c>
      <c r="F451" t="inlineStr">
        <is>
          <t>JÖNKÖPINGS LÄN</t>
        </is>
      </c>
      <c r="G451" t="inlineStr">
        <is>
          <t>VÄRNAMO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45642</v>
      </c>
      <c r="E452" s="1" t="n">
        <v>46305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46305</v>
      </c>
      <c r="F453" t="inlineStr">
        <is>
          <t>JÖNKÖPINGS LÄN</t>
        </is>
      </c>
      <c r="G453" t="inlineStr">
        <is>
          <t>VÄRNAMO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46305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44577</v>
      </c>
      <c r="E455" s="1" t="n">
        <v>46305</v>
      </c>
      <c r="F455" t="inlineStr">
        <is>
          <t>JÖNKÖPINGS LÄN</t>
        </is>
      </c>
      <c r="G455" t="inlineStr">
        <is>
          <t>VÄRNAMO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46305</v>
      </c>
      <c r="F456" t="inlineStr">
        <is>
          <t>JÖNKÖPINGS LÄN</t>
        </is>
      </c>
      <c r="G456" t="inlineStr">
        <is>
          <t>VÄRNAMO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46305</v>
      </c>
      <c r="F457" t="inlineStr">
        <is>
          <t>JÖNKÖPINGS LÄN</t>
        </is>
      </c>
      <c r="G457" t="inlineStr">
        <is>
          <t>VÄRNAMO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45812</v>
      </c>
      <c r="E458" s="1" t="n">
        <v>46305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46305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46305</v>
      </c>
      <c r="F460" t="inlineStr">
        <is>
          <t>JÖNKÖPINGS LÄN</t>
        </is>
      </c>
      <c r="G460" t="inlineStr">
        <is>
          <t>VÄRNAMO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46305</v>
      </c>
      <c r="F461" t="inlineStr">
        <is>
          <t>JÖNKÖPINGS LÄN</t>
        </is>
      </c>
      <c r="G461" t="inlineStr">
        <is>
          <t>VÄRNAMO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46305</v>
      </c>
      <c r="F462" t="inlineStr">
        <is>
          <t>JÖNKÖPINGS LÄN</t>
        </is>
      </c>
      <c r="G462" t="inlineStr">
        <is>
          <t>VÄRNAMO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46305</v>
      </c>
      <c r="F463" t="inlineStr">
        <is>
          <t>JÖNKÖPINGS LÄN</t>
        </is>
      </c>
      <c r="G463" t="inlineStr">
        <is>
          <t>VÄRNAMO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46305</v>
      </c>
      <c r="F464" t="inlineStr">
        <is>
          <t>JÖNKÖPINGS LÄN</t>
        </is>
      </c>
      <c r="G464" t="inlineStr">
        <is>
          <t>VÄRNAMO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46305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46305</v>
      </c>
      <c r="F466" t="inlineStr">
        <is>
          <t>JÖNKÖPINGS LÄN</t>
        </is>
      </c>
      <c r="G466" t="inlineStr">
        <is>
          <t>VÄRNAMO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46305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46042</v>
      </c>
      <c r="E468" s="1" t="n">
        <v>46305</v>
      </c>
      <c r="F468" t="inlineStr">
        <is>
          <t>JÖNKÖPINGS LÄN</t>
        </is>
      </c>
      <c r="G468" t="inlineStr">
        <is>
          <t>VÄRNAMO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45112</v>
      </c>
      <c r="E469" s="1" t="n">
        <v>46305</v>
      </c>
      <c r="F469" t="inlineStr">
        <is>
          <t>JÖNKÖPINGS LÄN</t>
        </is>
      </c>
      <c r="G469" t="inlineStr">
        <is>
          <t>VÄRNAMO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33315-2025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45841</v>
      </c>
      <c r="E470" s="1" t="n">
        <v>46305</v>
      </c>
      <c r="F470" t="inlineStr">
        <is>
          <t>JÖNKÖPINGS LÄN</t>
        </is>
      </c>
      <c r="G470" t="inlineStr">
        <is>
          <t>VÄRNAMO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46305</v>
      </c>
      <c r="F471" t="inlineStr">
        <is>
          <t>JÖNKÖPINGS LÄN</t>
        </is>
      </c>
      <c r="G471" t="inlineStr">
        <is>
          <t>VÄRNAMO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46305</v>
      </c>
      <c r="F472" t="inlineStr">
        <is>
          <t>JÖNKÖPINGS LÄN</t>
        </is>
      </c>
      <c r="G472" t="inlineStr">
        <is>
          <t>VÄRNAMO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46305</v>
      </c>
      <c r="F473" t="inlineStr">
        <is>
          <t>JÖNKÖPINGS LÄN</t>
        </is>
      </c>
      <c r="G473" t="inlineStr">
        <is>
          <t>VÄRNAMO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46305</v>
      </c>
      <c r="F474" t="inlineStr">
        <is>
          <t>JÖNKÖPINGS LÄN</t>
        </is>
      </c>
      <c r="G474" t="inlineStr">
        <is>
          <t>VÄRNAMO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43162-2024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45567</v>
      </c>
      <c r="E475" s="1" t="n">
        <v>46305</v>
      </c>
      <c r="F475" t="inlineStr">
        <is>
          <t>JÖNKÖPINGS LÄN</t>
        </is>
      </c>
      <c r="G475" t="inlineStr">
        <is>
          <t>VÄRNAMO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46305</v>
      </c>
      <c r="F476" t="inlineStr">
        <is>
          <t>JÖNKÖPINGS LÄN</t>
        </is>
      </c>
      <c r="G476" t="inlineStr">
        <is>
          <t>VÄRNAMO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46305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45889</v>
      </c>
      <c r="E478" s="1" t="n">
        <v>46305</v>
      </c>
      <c r="F478" t="inlineStr">
        <is>
          <t>JÖNKÖPINGS LÄN</t>
        </is>
      </c>
      <c r="G478" t="inlineStr">
        <is>
          <t>VÄRNAMO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45357</v>
      </c>
      <c r="E479" s="1" t="n">
        <v>46305</v>
      </c>
      <c r="F479" t="inlineStr">
        <is>
          <t>JÖNKÖPINGS LÄN</t>
        </is>
      </c>
      <c r="G479" t="inlineStr">
        <is>
          <t>VÄRNAMO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45563</v>
      </c>
      <c r="E480" s="1" t="n">
        <v>46305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46305</v>
      </c>
      <c r="F481" t="inlineStr">
        <is>
          <t>JÖNKÖPINGS LÄN</t>
        </is>
      </c>
      <c r="G481" t="inlineStr">
        <is>
          <t>VÄRNAMO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46305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46305</v>
      </c>
      <c r="F483" t="inlineStr">
        <is>
          <t>JÖNKÖPINGS LÄN</t>
        </is>
      </c>
      <c r="G483" t="inlineStr">
        <is>
          <t>VÄRNAMO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45400</v>
      </c>
      <c r="E484" s="1" t="n">
        <v>46305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5350-2026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46050</v>
      </c>
      <c r="E485" s="1" t="n">
        <v>46305</v>
      </c>
      <c r="F485" t="inlineStr">
        <is>
          <t>JÖNKÖPINGS LÄN</t>
        </is>
      </c>
      <c r="G485" t="inlineStr">
        <is>
          <t>VÄRNAMO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46305</v>
      </c>
      <c r="F486" t="inlineStr">
        <is>
          <t>JÖNKÖPINGS LÄN</t>
        </is>
      </c>
      <c r="G486" t="inlineStr">
        <is>
          <t>VÄRNAMO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46305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46305</v>
      </c>
      <c r="F488" t="inlineStr">
        <is>
          <t>JÖNKÖPINGS LÄN</t>
        </is>
      </c>
      <c r="G488" t="inlineStr">
        <is>
          <t>VÄRNAMO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46305</v>
      </c>
      <c r="F489" t="inlineStr">
        <is>
          <t>JÖNKÖPINGS LÄN</t>
        </is>
      </c>
      <c r="G489" t="inlineStr">
        <is>
          <t>VÄRNAMO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46305</v>
      </c>
      <c r="F490" t="inlineStr">
        <is>
          <t>JÖNKÖPINGS LÄN</t>
        </is>
      </c>
      <c r="G490" t="inlineStr">
        <is>
          <t>VÄRNAMO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46305</v>
      </c>
      <c r="F491" t="inlineStr">
        <is>
          <t>JÖNKÖPINGS LÄN</t>
        </is>
      </c>
      <c r="G491" t="inlineStr">
        <is>
          <t>VÄRNAMO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46305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46305</v>
      </c>
      <c r="F493" t="inlineStr">
        <is>
          <t>JÖNKÖPINGS LÄN</t>
        </is>
      </c>
      <c r="G493" t="inlineStr">
        <is>
          <t>VÄRNAMO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46305</v>
      </c>
      <c r="F494" t="inlineStr">
        <is>
          <t>JÖNKÖPINGS LÄN</t>
        </is>
      </c>
      <c r="G494" t="inlineStr">
        <is>
          <t>VÄRNAMO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46305</v>
      </c>
      <c r="F495" t="inlineStr">
        <is>
          <t>JÖNKÖPINGS LÄN</t>
        </is>
      </c>
      <c r="G495" t="inlineStr">
        <is>
          <t>VÄRNAMO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46305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46305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46305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46305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46305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42575-2022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44831</v>
      </c>
      <c r="E501" s="1" t="n">
        <v>46305</v>
      </c>
      <c r="F501" t="inlineStr">
        <is>
          <t>JÖNKÖPINGS LÄN</t>
        </is>
      </c>
      <c r="G501" t="inlineStr">
        <is>
          <t>VÄRNAMO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46305</v>
      </c>
      <c r="F502" t="inlineStr">
        <is>
          <t>JÖNKÖPINGS LÄN</t>
        </is>
      </c>
      <c r="G502" t="inlineStr">
        <is>
          <t>VÄRNAMO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46305</v>
      </c>
      <c r="F503" t="inlineStr">
        <is>
          <t>JÖNKÖPINGS LÄN</t>
        </is>
      </c>
      <c r="G503" t="inlineStr">
        <is>
          <t>VÄRNAMO</t>
        </is>
      </c>
      <c r="H503" t="inlineStr">
        <is>
          <t>Kommuner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46080</v>
      </c>
      <c r="E504" s="1" t="n">
        <v>46305</v>
      </c>
      <c r="F504" t="inlineStr">
        <is>
          <t>JÖNKÖPINGS LÄN</t>
        </is>
      </c>
      <c r="G504" t="inlineStr">
        <is>
          <t>VÄRNAMO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45718</v>
      </c>
      <c r="E505" s="1" t="n">
        <v>46305</v>
      </c>
      <c r="F505" t="inlineStr">
        <is>
          <t>JÖNKÖPINGS LÄN</t>
        </is>
      </c>
      <c r="G505" t="inlineStr">
        <is>
          <t>VÄRNAMO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12095-2026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46086</v>
      </c>
      <c r="E506" s="1" t="n">
        <v>46305</v>
      </c>
      <c r="F506" t="inlineStr">
        <is>
          <t>JÖNKÖPINGS LÄN</t>
        </is>
      </c>
      <c r="G506" t="inlineStr">
        <is>
          <t>VÄRNAMO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46305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46305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46305</v>
      </c>
      <c r="F509" t="inlineStr">
        <is>
          <t>JÖNKÖPINGS LÄN</t>
        </is>
      </c>
      <c r="G509" t="inlineStr">
        <is>
          <t>VÄRNAMO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46305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46305</v>
      </c>
      <c r="F511" t="inlineStr">
        <is>
          <t>JÖNKÖPINGS LÄN</t>
        </is>
      </c>
      <c r="G511" t="inlineStr">
        <is>
          <t>VÄRNAMO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46305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46305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46305</v>
      </c>
      <c r="F514" t="inlineStr">
        <is>
          <t>JÖNKÖPINGS LÄN</t>
        </is>
      </c>
      <c r="G514" t="inlineStr">
        <is>
          <t>VÄRNAMO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46172</v>
      </c>
      <c r="E515" s="1" t="n">
        <v>46305</v>
      </c>
      <c r="F515" t="inlineStr">
        <is>
          <t>JÖNKÖPINGS LÄN</t>
        </is>
      </c>
      <c r="G515" t="inlineStr">
        <is>
          <t>VÄRNAMO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45945</v>
      </c>
      <c r="E516" s="1" t="n">
        <v>46305</v>
      </c>
      <c r="F516" t="inlineStr">
        <is>
          <t>JÖNKÖPINGS LÄN</t>
        </is>
      </c>
      <c r="G516" t="inlineStr">
        <is>
          <t>VÄRNAMO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45972</v>
      </c>
      <c r="E517" s="1" t="n">
        <v>46305</v>
      </c>
      <c r="F517" t="inlineStr">
        <is>
          <t>JÖNKÖPINGS LÄN</t>
        </is>
      </c>
      <c r="G517" t="inlineStr">
        <is>
          <t>VÄRNAMO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46305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46305</v>
      </c>
      <c r="F519" t="inlineStr">
        <is>
          <t>JÖNKÖPINGS LÄN</t>
        </is>
      </c>
      <c r="G519" t="inlineStr">
        <is>
          <t>VÄRNAMO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46305</v>
      </c>
      <c r="F520" t="inlineStr">
        <is>
          <t>JÖNKÖPINGS LÄN</t>
        </is>
      </c>
      <c r="G520" t="inlineStr">
        <is>
          <t>VÄRNAMO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46305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46305</v>
      </c>
      <c r="F522" t="inlineStr">
        <is>
          <t>JÖNKÖPINGS LÄN</t>
        </is>
      </c>
      <c r="G522" t="inlineStr">
        <is>
          <t>VÄRNAMO</t>
        </is>
      </c>
      <c r="H522" t="inlineStr">
        <is>
          <t>Kommuner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46305</v>
      </c>
      <c r="F523" t="inlineStr">
        <is>
          <t>JÖNKÖPINGS LÄN</t>
        </is>
      </c>
      <c r="G523" t="inlineStr">
        <is>
          <t>VÄRNAMO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27153-2026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46188</v>
      </c>
      <c r="E524" s="1" t="n">
        <v>46305</v>
      </c>
      <c r="F524" t="inlineStr">
        <is>
          <t>JÖNKÖPINGS LÄN</t>
        </is>
      </c>
      <c r="G524" t="inlineStr">
        <is>
          <t>VÄRNAMO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46305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46305</v>
      </c>
      <c r="F526" t="inlineStr">
        <is>
          <t>JÖNKÖPINGS LÄN</t>
        </is>
      </c>
      <c r="G526" t="inlineStr">
        <is>
          <t>VÄRNAMO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46305</v>
      </c>
      <c r="F527" t="inlineStr">
        <is>
          <t>JÖNKÖPINGS LÄN</t>
        </is>
      </c>
      <c r="G527" t="inlineStr">
        <is>
          <t>VÄRNAMO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46305</v>
      </c>
      <c r="F528" t="inlineStr">
        <is>
          <t>JÖNKÖPINGS LÄN</t>
        </is>
      </c>
      <c r="G528" t="inlineStr">
        <is>
          <t>VÄRNAMO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46305</v>
      </c>
      <c r="F529" t="inlineStr">
        <is>
          <t>JÖNKÖPINGS LÄN</t>
        </is>
      </c>
      <c r="G529" t="inlineStr">
        <is>
          <t>VÄRNAMO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46305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46305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46305</v>
      </c>
      <c r="F532" t="inlineStr">
        <is>
          <t>JÖNKÖPINGS LÄN</t>
        </is>
      </c>
      <c r="G532" t="inlineStr">
        <is>
          <t>VÄRNAMO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46305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46305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46305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46305</v>
      </c>
      <c r="F536" t="inlineStr">
        <is>
          <t>JÖNKÖPINGS LÄN</t>
        </is>
      </c>
      <c r="G536" t="inlineStr">
        <is>
          <t>VÄRNAMO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46305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46305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46305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46305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46305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46305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46193</v>
      </c>
      <c r="E543" s="1" t="n">
        <v>46305</v>
      </c>
      <c r="F543" t="inlineStr">
        <is>
          <t>JÖNKÖPINGS LÄN</t>
        </is>
      </c>
      <c r="G543" t="inlineStr">
        <is>
          <t>VÄRNAMO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46305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46305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46305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46305</v>
      </c>
      <c r="F547" t="inlineStr">
        <is>
          <t>JÖNKÖPINGS LÄN</t>
        </is>
      </c>
      <c r="G547" t="inlineStr">
        <is>
          <t>VÄRNAMO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46305</v>
      </c>
      <c r="F548" t="inlineStr">
        <is>
          <t>JÖNKÖPINGS LÄN</t>
        </is>
      </c>
      <c r="G548" t="inlineStr">
        <is>
          <t>VÄRNAMO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46305</v>
      </c>
      <c r="F549" t="inlineStr">
        <is>
          <t>JÖNKÖPINGS LÄN</t>
        </is>
      </c>
      <c r="G549" t="inlineStr">
        <is>
          <t>VÄRNAMO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46305</v>
      </c>
      <c r="F550" t="inlineStr">
        <is>
          <t>JÖNKÖPINGS LÄN</t>
        </is>
      </c>
      <c r="G550" t="inlineStr">
        <is>
          <t>VÄRNAMO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46305</v>
      </c>
      <c r="F551" t="inlineStr">
        <is>
          <t>JÖNKÖPINGS LÄN</t>
        </is>
      </c>
      <c r="G551" t="inlineStr">
        <is>
          <t>VÄRNAMO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45924</v>
      </c>
      <c r="E552" s="1" t="n">
        <v>46305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46305</v>
      </c>
      <c r="F553" t="inlineStr">
        <is>
          <t>JÖNKÖPINGS LÄN</t>
        </is>
      </c>
      <c r="G553" t="inlineStr">
        <is>
          <t>VÄRNAMO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46305</v>
      </c>
      <c r="F554" t="inlineStr">
        <is>
          <t>JÖNKÖPINGS LÄN</t>
        </is>
      </c>
      <c r="G554" t="inlineStr">
        <is>
          <t>VÄRNAMO</t>
        </is>
      </c>
      <c r="H554" t="inlineStr">
        <is>
          <t>Kommuner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46305</v>
      </c>
      <c r="F555" t="inlineStr">
        <is>
          <t>JÖNKÖPINGS LÄN</t>
        </is>
      </c>
      <c r="G555" t="inlineStr">
        <is>
          <t>VÄRNAMO</t>
        </is>
      </c>
      <c r="H555" t="inlineStr">
        <is>
          <t>Kommuner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46305</v>
      </c>
      <c r="F556" t="inlineStr">
        <is>
          <t>JÖNKÖPINGS LÄN</t>
        </is>
      </c>
      <c r="G556" t="inlineStr">
        <is>
          <t>VÄRNAMO</t>
        </is>
      </c>
      <c r="H556" t="inlineStr">
        <is>
          <t>Kommuner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11990-2025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46305</v>
      </c>
      <c r="F557" t="inlineStr">
        <is>
          <t>JÖNKÖPINGS LÄN</t>
        </is>
      </c>
      <c r="G557" t="inlineStr">
        <is>
          <t>VÄRNAMO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46305</v>
      </c>
      <c r="F558" t="inlineStr">
        <is>
          <t>JÖNKÖPINGS LÄN</t>
        </is>
      </c>
      <c r="G558" t="inlineStr">
        <is>
          <t>VÄRNAMO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46268</v>
      </c>
      <c r="E559" s="1" t="n">
        <v>46305</v>
      </c>
      <c r="F559" t="inlineStr">
        <is>
          <t>JÖNKÖPINGS LÄN</t>
        </is>
      </c>
      <c r="G559" t="inlineStr">
        <is>
          <t>VÄRNAMO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46230</v>
      </c>
      <c r="E560" s="1" t="n">
        <v>46305</v>
      </c>
      <c r="F560" t="inlineStr">
        <is>
          <t>JÖNKÖPINGS LÄN</t>
        </is>
      </c>
      <c r="G560" t="inlineStr">
        <is>
          <t>VÄRNAMO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46305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46305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37592-2026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46276</v>
      </c>
      <c r="E563" s="1" t="n">
        <v>46305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46305</v>
      </c>
      <c r="F564" t="inlineStr">
        <is>
          <t>JÖNKÖPINGS LÄN</t>
        </is>
      </c>
      <c r="G564" t="inlineStr">
        <is>
          <t>VÄRNAMO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46305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46305</v>
      </c>
      <c r="F566" t="inlineStr">
        <is>
          <t>JÖNKÖPINGS LÄN</t>
        </is>
      </c>
      <c r="G566" t="inlineStr">
        <is>
          <t>VÄRNAMO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46305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46238</v>
      </c>
      <c r="E568" s="1" t="n">
        <v>46305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46238</v>
      </c>
      <c r="E569" s="1" t="n">
        <v>46305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46305</v>
      </c>
      <c r="F570" t="inlineStr">
        <is>
          <t>JÖNKÖPINGS LÄN</t>
        </is>
      </c>
      <c r="G570" t="inlineStr">
        <is>
          <t>VÄRNAMO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46305</v>
      </c>
      <c r="F571" t="inlineStr">
        <is>
          <t>JÖNKÖPINGS LÄN</t>
        </is>
      </c>
      <c r="G571" t="inlineStr">
        <is>
          <t>VÄRNAMO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46283</v>
      </c>
      <c r="E572" s="1" t="n">
        <v>46305</v>
      </c>
      <c r="F572" t="inlineStr">
        <is>
          <t>JÖNKÖPINGS LÄN</t>
        </is>
      </c>
      <c r="G572" t="inlineStr">
        <is>
          <t>VÄRNAMO</t>
        </is>
      </c>
      <c r="H572" t="inlineStr">
        <is>
          <t>Kyrkan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46305</v>
      </c>
      <c r="F573" t="inlineStr">
        <is>
          <t>JÖNKÖPINGS LÄN</t>
        </is>
      </c>
      <c r="G573" t="inlineStr">
        <is>
          <t>VÄRNAMO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46305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40852-2022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46305</v>
      </c>
      <c r="F575" t="inlineStr">
        <is>
          <t>JÖNKÖPINGS LÄN</t>
        </is>
      </c>
      <c r="G575" t="inlineStr">
        <is>
          <t>VÄRNAMO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46282</v>
      </c>
      <c r="E576" s="1" t="n">
        <v>46305</v>
      </c>
      <c r="F576" t="inlineStr">
        <is>
          <t>JÖNKÖPINGS LÄN</t>
        </is>
      </c>
      <c r="G576" t="inlineStr">
        <is>
          <t>VÄRNAMO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46288</v>
      </c>
      <c r="E577" s="1" t="n">
        <v>46305</v>
      </c>
      <c r="F577" t="inlineStr">
        <is>
          <t>JÖNKÖPINGS LÄN</t>
        </is>
      </c>
      <c r="G577" t="inlineStr">
        <is>
          <t>VÄRNAMO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46305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46288</v>
      </c>
      <c r="E579" s="1" t="n">
        <v>46305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46305</v>
      </c>
      <c r="F580" t="inlineStr">
        <is>
          <t>JÖNKÖPINGS LÄN</t>
        </is>
      </c>
      <c r="G580" t="inlineStr">
        <is>
          <t>VÄRNAMO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46305</v>
      </c>
      <c r="F581" t="inlineStr">
        <is>
          <t>JÖNKÖPINGS LÄN</t>
        </is>
      </c>
      <c r="G581" t="inlineStr">
        <is>
          <t>VÄRNAMO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46305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46305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46305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45713</v>
      </c>
      <c r="E585" s="1" t="n">
        <v>46305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46305</v>
      </c>
      <c r="F586" t="inlineStr">
        <is>
          <t>JÖNKÖPINGS LÄN</t>
        </is>
      </c>
      <c r="G586" t="inlineStr">
        <is>
          <t>VÄRNAMO</t>
        </is>
      </c>
      <c r="I586" t="n">
        <v>11.7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46305</v>
      </c>
      <c r="F587" t="inlineStr">
        <is>
          <t>JÖNKÖPINGS LÄN</t>
        </is>
      </c>
      <c r="G587" t="inlineStr">
        <is>
          <t>VÄRNAMO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46305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46305</v>
      </c>
      <c r="F589" t="inlineStr">
        <is>
          <t>JÖNKÖPINGS LÄN</t>
        </is>
      </c>
      <c r="G589" t="inlineStr">
        <is>
          <t>VÄRNAMO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46294</v>
      </c>
      <c r="E590" s="1" t="n">
        <v>46305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46305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46305</v>
      </c>
      <c r="F592" t="inlineStr">
        <is>
          <t>JÖNKÖPINGS LÄN</t>
        </is>
      </c>
      <c r="G592" t="inlineStr">
        <is>
          <t>VÄRNAMO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46305</v>
      </c>
      <c r="F593" t="inlineStr">
        <is>
          <t>JÖNKÖPINGS LÄN</t>
        </is>
      </c>
      <c r="G593" t="inlineStr">
        <is>
          <t>VÄRNAMO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46305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46305</v>
      </c>
      <c r="F595" t="inlineStr">
        <is>
          <t>JÖNKÖPINGS LÄN</t>
        </is>
      </c>
      <c r="G595" t="inlineStr">
        <is>
          <t>VÄRNAMO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46305</v>
      </c>
      <c r="F596" t="inlineStr">
        <is>
          <t>JÖNKÖPINGS LÄN</t>
        </is>
      </c>
      <c r="G596" t="inlineStr">
        <is>
          <t>VÄRNAMO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46305</v>
      </c>
      <c r="F597" t="inlineStr">
        <is>
          <t>JÖNKÖPINGS LÄN</t>
        </is>
      </c>
      <c r="G597" t="inlineStr">
        <is>
          <t>VÄRNAMO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45919</v>
      </c>
      <c r="E598" s="1" t="n">
        <v>46305</v>
      </c>
      <c r="F598" t="inlineStr">
        <is>
          <t>JÖNKÖPINGS LÄN</t>
        </is>
      </c>
      <c r="G598" t="inlineStr">
        <is>
          <t>VÄRNAMO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46305</v>
      </c>
      <c r="F599" t="inlineStr">
        <is>
          <t>JÖNKÖPINGS LÄN</t>
        </is>
      </c>
      <c r="G599" t="inlineStr">
        <is>
          <t>VÄRNAMO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46297</v>
      </c>
      <c r="E600" s="1" t="n">
        <v>46305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62274-2025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46305</v>
      </c>
      <c r="F601" t="inlineStr">
        <is>
          <t>JÖNKÖPINGS LÄN</t>
        </is>
      </c>
      <c r="G601" t="inlineStr">
        <is>
          <t>VÄRNAMO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46305</v>
      </c>
      <c r="F602" t="inlineStr">
        <is>
          <t>JÖNKÖPINGS LÄN</t>
        </is>
      </c>
      <c r="G602" t="inlineStr">
        <is>
          <t>VÄRNAMO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46301</v>
      </c>
      <c r="E603" s="1" t="n">
        <v>46305</v>
      </c>
      <c r="F603" t="inlineStr">
        <is>
          <t>JÖNKÖPINGS LÄN</t>
        </is>
      </c>
      <c r="G603" t="inlineStr">
        <is>
          <t>VÄRNAMO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46304</v>
      </c>
      <c r="E604" s="1" t="n">
        <v>46305</v>
      </c>
      <c r="F604" t="inlineStr">
        <is>
          <t>JÖNKÖPINGS LÄN</t>
        </is>
      </c>
      <c r="G604" t="inlineStr">
        <is>
          <t>VÄRNAMO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46304</v>
      </c>
      <c r="E605" s="1" t="n">
        <v>46305</v>
      </c>
      <c r="F605" t="inlineStr">
        <is>
          <t>JÖNKÖPINGS LÄN</t>
        </is>
      </c>
      <c r="G605" t="inlineStr">
        <is>
          <t>VÄRNAMO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46305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46305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46305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46305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46305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46305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46305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46305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46305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46305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46305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46305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46305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46305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46305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46305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46305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46305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46305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46305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2026-10-10T02:06:10Z</dcterms:created>
  <dcterms:modified xmlns:dcterms="http://purl.org/dc/terms/" xmlns:xsi="http://www.w3.org/2001/XMLSchema-instance" xsi:type="dcterms:W3CDTF">2026-10-10T02:06:10Z</dcterms:modified>
</cp:coreProperties>
</file>