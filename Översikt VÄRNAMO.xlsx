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46316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46316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46316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46316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46316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46316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46316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46316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46316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46316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46316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46316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46316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46316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46316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46316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46316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46316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46316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46316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10842-2026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46316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Klockgentiana</t>
        </is>
      </c>
      <c r="W27">
        <f>HYPERLINK("https://klasma.github.io/Logging_0683/artfynd/A 10842-2026 artfynd.xlsx", "A 10842-2026")</f>
        <v/>
      </c>
      <c r="X27">
        <f>HYPERLINK("https://klasma.github.io/Logging_0683/kartor/A 10842-2026 karta.png", "A 10842-2026")</f>
        <v/>
      </c>
      <c r="Y27">
        <f>HYPERLINK("https://klasma.github.io/Logging_0683/kartor_geotiff/A 10842-2026 georefererad karta.tif", "A 10842-2026")</f>
        <v/>
      </c>
      <c r="AA27">
        <f>HYPERLINK("https://klasma.github.io/Logging_0683/klagomål/A 10842-2026 FSC-klagomål.docx", "A 10842-2026")</f>
        <v/>
      </c>
      <c r="AB27">
        <f>HYPERLINK("https://klasma.github.io/Logging_0683/klagomålsmail/A 10842-2026 FSC-klagomål mail.docx", "A 10842-2026")</f>
        <v/>
      </c>
      <c r="AC27">
        <f>HYPERLINK("https://klasma.github.io/Logging_0683/tillsyn/A 10842-2026 tillsynsbegäran.docx", "A 10842-2026")</f>
        <v/>
      </c>
      <c r="AD27">
        <f>HYPERLINK("https://klasma.github.io/Logging_0683/tillsynsmail/A 10842-2026 tillsynsbegäran mail.docx", "A 10842-2026")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46316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23613-2023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46316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HYPERLINK("https://klasma.github.io/Logging_0683/artfynd/A 23613-2023 artfynd.xlsx", "A 23613-2023")</f>
        <v/>
      </c>
      <c r="X29">
        <f>HYPERLINK("https://klasma.github.io/Logging_0683/kartor/A 23613-2023 karta.png", "A 23613-2023")</f>
        <v/>
      </c>
      <c r="Y29">
        <f>HYPERLINK("https://klasma.github.io/Logging_0683/kartor_geotiff/A 23613-2023 georefererad karta.tif", "A 23613-2023")</f>
        <v/>
      </c>
      <c r="AA29">
        <f>HYPERLINK("https://klasma.github.io/Logging_0683/klagomål/A 23613-2023 FSC-klagomål.docx", "A 23613-2023")</f>
        <v/>
      </c>
      <c r="AB29">
        <f>HYPERLINK("https://klasma.github.io/Logging_0683/klagomålsmail/A 23613-2023 FSC-klagomål mail.docx", "A 23613-2023")</f>
        <v/>
      </c>
      <c r="AC29">
        <f>HYPERLINK("https://klasma.github.io/Logging_0683/tillsyn/A 23613-2023 tillsynsbegäran.docx", "A 23613-2023")</f>
        <v/>
      </c>
      <c r="AD29">
        <f>HYPERLINK("https://klasma.github.io/Logging_0683/tillsynsmail/A 23613-2023 tillsynsbegäran mail.docx", "A 23613-2023")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46316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46316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38915-2026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46316</v>
      </c>
      <c r="F32" t="inlineStr">
        <is>
          <t>JÖNKÖPINGS LÄN</t>
        </is>
      </c>
      <c r="G32" t="inlineStr">
        <is>
          <t>VÄRNAMO</t>
        </is>
      </c>
      <c r="I32" t="n">
        <v>3.2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Blågrönt mannagräs</t>
        </is>
      </c>
      <c r="W32">
        <f>HYPERLINK("https://klasma.github.io/Logging_0683/artfynd/A 38915-2026 artfynd.xlsx", "A 38915-2026")</f>
        <v/>
      </c>
      <c r="X32">
        <f>HYPERLINK("https://klasma.github.io/Logging_0683/kartor/A 38915-2026 karta.png", "A 38915-2026")</f>
        <v/>
      </c>
      <c r="Y32">
        <f>HYPERLINK("https://klasma.github.io/Logging_0683/kartor_geotiff/A 38915-2026 georefererad karta.tif", "A 38915-2026")</f>
        <v/>
      </c>
      <c r="AA32">
        <f>HYPERLINK("https://klasma.github.io/Logging_0683/klagomål/A 38915-2026 FSC-klagomål.docx", "A 38915-2026")</f>
        <v/>
      </c>
      <c r="AB32">
        <f>HYPERLINK("https://klasma.github.io/Logging_0683/klagomålsmail/A 38915-2026 FSC-klagomål mail.docx", "A 38915-2026")</f>
        <v/>
      </c>
      <c r="AC32">
        <f>HYPERLINK("https://klasma.github.io/Logging_0683/tillsyn/A 38915-2026 tillsynsbegäran.docx", "A 38915-2026")</f>
        <v/>
      </c>
      <c r="AD32">
        <f>HYPERLINK("https://klasma.github.io/Logging_0683/tillsynsmail/A 38915-2026 tillsynsbegäran mail.docx", "A 38915-2026")</f>
        <v/>
      </c>
    </row>
    <row r="33" ht="15" customHeight="1">
      <c r="A33" t="inlineStr">
        <is>
          <t>A 39126-2026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46287</v>
      </c>
      <c r="E33" s="1" t="n">
        <v>46316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HYPERLINK("https://klasma.github.io/Logging_0683/artfynd/A 39126-2026 artfynd.xlsx", "A 39126-2026")</f>
        <v/>
      </c>
      <c r="X33">
        <f>HYPERLINK("https://klasma.github.io/Logging_0683/kartor/A 39126-2026 karta.png", "A 39126-2026")</f>
        <v/>
      </c>
      <c r="Y33">
        <f>HYPERLINK("https://klasma.github.io/Logging_0683/kartor_geotiff/A 39126-2026 georefererad karta.tif", "A 39126-2026")</f>
        <v/>
      </c>
      <c r="AA33">
        <f>HYPERLINK("https://klasma.github.io/Logging_0683/klagomål/A 39126-2026 FSC-klagomål.docx", "A 39126-2026")</f>
        <v/>
      </c>
      <c r="AB33">
        <f>HYPERLINK("https://klasma.github.io/Logging_0683/klagomålsmail/A 39126-2026 FSC-klagomål mail.docx", "A 39126-2026")</f>
        <v/>
      </c>
      <c r="AC33">
        <f>HYPERLINK("https://klasma.github.io/Logging_0683/tillsyn/A 39126-2026 tillsynsbegäran.docx", "A 39126-2026")</f>
        <v/>
      </c>
      <c r="AD33">
        <f>HYPERLINK("https://klasma.github.io/Logging_0683/tillsynsmail/A 39126-2026 tillsynsbegäran mail.docx", "A 39126-2026")</f>
        <v/>
      </c>
    </row>
    <row r="34" ht="15" customHeight="1">
      <c r="A34" t="inlineStr">
        <is>
          <t>A 37198-2024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45539</v>
      </c>
      <c r="E34" s="1" t="n">
        <v>46316</v>
      </c>
      <c r="F34" t="inlineStr">
        <is>
          <t>JÖNKÖPINGS LÄN</t>
        </is>
      </c>
      <c r="G34" t="inlineStr">
        <is>
          <t>VÄRNAMO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HYPERLINK("https://klasma.github.io/Logging_0683/artfynd/A 37198-2024 artfynd.xlsx", "A 37198-2024")</f>
        <v/>
      </c>
      <c r="X34">
        <f>HYPERLINK("https://klasma.github.io/Logging_0683/kartor/A 37198-2024 karta.png", "A 37198-2024")</f>
        <v/>
      </c>
      <c r="Y34">
        <f>HYPERLINK("https://klasma.github.io/Logging_0683/kartor_geotiff/A 37198-2024 georefererad karta.tif", "A 37198-2024")</f>
        <v/>
      </c>
      <c r="AA34">
        <f>HYPERLINK("https://klasma.github.io/Logging_0683/klagomål/A 37198-2024 FSC-klagomål.docx", "A 37198-2024")</f>
        <v/>
      </c>
      <c r="AB34">
        <f>HYPERLINK("https://klasma.github.io/Logging_0683/klagomålsmail/A 37198-2024 FSC-klagomål mail.docx", "A 37198-2024")</f>
        <v/>
      </c>
      <c r="AC34">
        <f>HYPERLINK("https://klasma.github.io/Logging_0683/tillsyn/A 37198-2024 tillsynsbegäran.docx", "A 37198-2024")</f>
        <v/>
      </c>
      <c r="AD34">
        <f>HYPERLINK("https://klasma.github.io/Logging_0683/tillsynsmail/A 37198-2024 tillsynsbegäran mail.docx", "A 37198-2024")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46316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46316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46316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46316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63418-2021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46316</v>
      </c>
      <c r="F39" t="inlineStr">
        <is>
          <t>JÖNKÖPINGS LÄN</t>
        </is>
      </c>
      <c r="G39" t="inlineStr">
        <is>
          <t>VÄRNAMO</t>
        </is>
      </c>
      <c r="I39" t="n">
        <v>8.4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HYPERLINK("https://klasma.github.io/Logging_0683/artfynd/A 63418-2021 artfynd.xlsx", "A 63418-2021")</f>
        <v/>
      </c>
      <c r="X39">
        <f>HYPERLINK("https://klasma.github.io/Logging_0683/kartor/A 63418-2021 karta.png", "A 63418-2021")</f>
        <v/>
      </c>
      <c r="Y39">
        <f>HYPERLINK("https://klasma.github.io/Logging_0683/kartor_geotiff/A 63418-2021 georefererad karta.tif", "A 63418-2021")</f>
        <v/>
      </c>
      <c r="AA39">
        <f>HYPERLINK("https://klasma.github.io/Logging_0683/klagomål/A 63418-2021 FSC-klagomål.docx", "A 63418-2021")</f>
        <v/>
      </c>
      <c r="AB39">
        <f>HYPERLINK("https://klasma.github.io/Logging_0683/klagomålsmail/A 63418-2021 FSC-klagomål mail.docx", "A 63418-2021")</f>
        <v/>
      </c>
      <c r="AC39">
        <f>HYPERLINK("https://klasma.github.io/Logging_0683/tillsyn/A 63418-2021 tillsynsbegäran.docx", "A 63418-2021")</f>
        <v/>
      </c>
      <c r="AD39">
        <f>HYPERLINK("https://klasma.github.io/Logging_0683/tillsynsmail/A 63418-2021 tillsynsbegäran mail.docx", "A 63418-2021")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46316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46316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46316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46316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46316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46316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46316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518-2022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44566</v>
      </c>
      <c r="E47" s="1" t="n">
        <v>46316</v>
      </c>
      <c r="F47" t="inlineStr">
        <is>
          <t>JÖNKÖPINGS LÄN</t>
        </is>
      </c>
      <c r="G47" t="inlineStr">
        <is>
          <t>VÄRNAMO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46316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46316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46316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46316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46316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46316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46316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46316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46316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46316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46316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46316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46316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46316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46316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46316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46316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46316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46316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46316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46316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46316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46316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46316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46316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46316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46316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46316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46316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46316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46316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46316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46316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46316</v>
      </c>
      <c r="F81" t="inlineStr">
        <is>
          <t>JÖNKÖPINGS LÄN</t>
        </is>
      </c>
      <c r="G81" t="inlineStr">
        <is>
          <t>VÄRNAMO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46316</v>
      </c>
      <c r="F82" t="inlineStr">
        <is>
          <t>JÖNKÖPINGS LÄN</t>
        </is>
      </c>
      <c r="G82" t="inlineStr">
        <is>
          <t>VÄRNAMO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46316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46316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46316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46316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46316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46316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46316</v>
      </c>
      <c r="F89" t="inlineStr">
        <is>
          <t>JÖNKÖPINGS LÄN</t>
        </is>
      </c>
      <c r="G89" t="inlineStr">
        <is>
          <t>VÄRNAMO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24702-2022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44727</v>
      </c>
      <c r="E90" s="1" t="n">
        <v>46316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46316</v>
      </c>
      <c r="F91" t="inlineStr">
        <is>
          <t>JÖNKÖPINGS LÄN</t>
        </is>
      </c>
      <c r="G91" t="inlineStr">
        <is>
          <t>VÄRNAMO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45328</v>
      </c>
      <c r="E92" s="1" t="n">
        <v>46316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46316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46316</v>
      </c>
      <c r="F94" t="inlineStr">
        <is>
          <t>JÖNKÖPINGS LÄN</t>
        </is>
      </c>
      <c r="G94" t="inlineStr">
        <is>
          <t>VÄRNAMO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45036</v>
      </c>
      <c r="E95" s="1" t="n">
        <v>46316</v>
      </c>
      <c r="F95" t="inlineStr">
        <is>
          <t>JÖNKÖPINGS LÄN</t>
        </is>
      </c>
      <c r="G95" t="inlineStr">
        <is>
          <t>VÄRNAMO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46316</v>
      </c>
      <c r="F96" t="inlineStr">
        <is>
          <t>JÖNKÖPINGS LÄN</t>
        </is>
      </c>
      <c r="G96" t="inlineStr">
        <is>
          <t>VÄRNAMO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43155-2024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46316</v>
      </c>
      <c r="F97" t="inlineStr">
        <is>
          <t>JÖNKÖPINGS LÄN</t>
        </is>
      </c>
      <c r="G97" t="inlineStr">
        <is>
          <t>VÄRNAMO</t>
        </is>
      </c>
      <c r="H97" t="inlineStr">
        <is>
          <t>Kommuner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45735</v>
      </c>
      <c r="E98" s="1" t="n">
        <v>46316</v>
      </c>
      <c r="F98" t="inlineStr">
        <is>
          <t>JÖNKÖPINGS LÄN</t>
        </is>
      </c>
      <c r="G98" t="inlineStr">
        <is>
          <t>VÄRNAMO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46316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46316</v>
      </c>
      <c r="F100" t="inlineStr">
        <is>
          <t>JÖNKÖPINGS LÄN</t>
        </is>
      </c>
      <c r="G100" t="inlineStr">
        <is>
          <t>VÄRNAMO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46316</v>
      </c>
      <c r="F101" t="inlineStr">
        <is>
          <t>JÖNKÖPINGS LÄN</t>
        </is>
      </c>
      <c r="G101" t="inlineStr">
        <is>
          <t>VÄRNAMO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44869</v>
      </c>
      <c r="E102" s="1" t="n">
        <v>46316</v>
      </c>
      <c r="F102" t="inlineStr">
        <is>
          <t>JÖNKÖPINGS LÄN</t>
        </is>
      </c>
      <c r="G102" t="inlineStr">
        <is>
          <t>VÄRNAMO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46316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46316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46316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46316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46316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46316</v>
      </c>
      <c r="F108" t="inlineStr">
        <is>
          <t>JÖNKÖPINGS LÄN</t>
        </is>
      </c>
      <c r="G108" t="inlineStr">
        <is>
          <t>VÄRNAMO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44595</v>
      </c>
      <c r="E109" s="1" t="n">
        <v>46316</v>
      </c>
      <c r="F109" t="inlineStr">
        <is>
          <t>JÖNKÖPINGS LÄN</t>
        </is>
      </c>
      <c r="G109" t="inlineStr">
        <is>
          <t>VÄRNAMO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46316</v>
      </c>
      <c r="F110" t="inlineStr">
        <is>
          <t>JÖNKÖPINGS LÄN</t>
        </is>
      </c>
      <c r="G110" t="inlineStr">
        <is>
          <t>VÄRNAMO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46316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45019</v>
      </c>
      <c r="E112" s="1" t="n">
        <v>46316</v>
      </c>
      <c r="F112" t="inlineStr">
        <is>
          <t>JÖNKÖPINGS LÄN</t>
        </is>
      </c>
      <c r="G112" t="inlineStr">
        <is>
          <t>VÄRNAMO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46316</v>
      </c>
      <c r="F113" t="inlineStr">
        <is>
          <t>JÖNKÖPINGS LÄN</t>
        </is>
      </c>
      <c r="G113" t="inlineStr">
        <is>
          <t>VÄRNAMO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45723</v>
      </c>
      <c r="E114" s="1" t="n">
        <v>46316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46316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46316</v>
      </c>
      <c r="F116" t="inlineStr">
        <is>
          <t>JÖNKÖPINGS LÄN</t>
        </is>
      </c>
      <c r="G116" t="inlineStr">
        <is>
          <t>VÄRNAMO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46316</v>
      </c>
      <c r="F117" t="inlineStr">
        <is>
          <t>JÖNKÖPINGS LÄN</t>
        </is>
      </c>
      <c r="G117" t="inlineStr">
        <is>
          <t>VÄRNAMO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46001</v>
      </c>
      <c r="E118" s="1" t="n">
        <v>46316</v>
      </c>
      <c r="F118" t="inlineStr">
        <is>
          <t>JÖNKÖPINGS LÄN</t>
        </is>
      </c>
      <c r="G118" t="inlineStr">
        <is>
          <t>VÄRNAMO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46316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46316</v>
      </c>
      <c r="F120" t="inlineStr">
        <is>
          <t>JÖNKÖPINGS LÄN</t>
        </is>
      </c>
      <c r="G120" t="inlineStr">
        <is>
          <t>VÄRNAMO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45792</v>
      </c>
      <c r="E121" s="1" t="n">
        <v>46316</v>
      </c>
      <c r="F121" t="inlineStr">
        <is>
          <t>JÖNKÖPINGS LÄN</t>
        </is>
      </c>
      <c r="G121" t="inlineStr">
        <is>
          <t>VÄRNAMO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46316</v>
      </c>
      <c r="F122" t="inlineStr">
        <is>
          <t>JÖNKÖPINGS LÄN</t>
        </is>
      </c>
      <c r="G122" t="inlineStr">
        <is>
          <t>VÄRNAMO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46316</v>
      </c>
      <c r="F123" t="inlineStr">
        <is>
          <t>JÖNKÖPINGS LÄN</t>
        </is>
      </c>
      <c r="G123" t="inlineStr">
        <is>
          <t>VÄRNAMO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46316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46316</v>
      </c>
      <c r="F125" t="inlineStr">
        <is>
          <t>JÖNKÖPINGS LÄN</t>
        </is>
      </c>
      <c r="G125" t="inlineStr">
        <is>
          <t>VÄRNAMO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45674</v>
      </c>
      <c r="E126" s="1" t="n">
        <v>46316</v>
      </c>
      <c r="F126" t="inlineStr">
        <is>
          <t>JÖNKÖPINGS LÄN</t>
        </is>
      </c>
      <c r="G126" t="inlineStr">
        <is>
          <t>VÄRNAMO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46316</v>
      </c>
      <c r="F127" t="inlineStr">
        <is>
          <t>JÖNKÖPINGS LÄN</t>
        </is>
      </c>
      <c r="G127" t="inlineStr">
        <is>
          <t>VÄRNAMO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46316</v>
      </c>
      <c r="F128" t="inlineStr">
        <is>
          <t>JÖNKÖPINGS LÄN</t>
        </is>
      </c>
      <c r="G128" t="inlineStr">
        <is>
          <t>VÄRNAMO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45800</v>
      </c>
      <c r="E129" s="1" t="n">
        <v>46316</v>
      </c>
      <c r="F129" t="inlineStr">
        <is>
          <t>JÖNKÖPINGS LÄN</t>
        </is>
      </c>
      <c r="G129" t="inlineStr">
        <is>
          <t>VÄRNAMO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46316</v>
      </c>
      <c r="F130" t="inlineStr">
        <is>
          <t>JÖNKÖPINGS LÄN</t>
        </is>
      </c>
      <c r="G130" t="inlineStr">
        <is>
          <t>VÄRNAMO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46316</v>
      </c>
      <c r="F131" t="inlineStr">
        <is>
          <t>JÖNKÖPINGS LÄN</t>
        </is>
      </c>
      <c r="G131" t="inlineStr">
        <is>
          <t>VÄRNAMO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45439</v>
      </c>
      <c r="E132" s="1" t="n">
        <v>46316</v>
      </c>
      <c r="F132" t="inlineStr">
        <is>
          <t>JÖNKÖPINGS LÄN</t>
        </is>
      </c>
      <c r="G132" t="inlineStr">
        <is>
          <t>VÄRNAMO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46316</v>
      </c>
      <c r="F133" t="inlineStr">
        <is>
          <t>JÖNKÖPINGS LÄN</t>
        </is>
      </c>
      <c r="G133" t="inlineStr">
        <is>
          <t>VÄRNAMO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46316</v>
      </c>
      <c r="F134" t="inlineStr">
        <is>
          <t>JÖNKÖPINGS LÄN</t>
        </is>
      </c>
      <c r="G134" t="inlineStr">
        <is>
          <t>VÄRNAMO</t>
        </is>
      </c>
      <c r="H134" t="inlineStr">
        <is>
          <t>Kyrkan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46316</v>
      </c>
      <c r="F135" t="inlineStr">
        <is>
          <t>JÖNKÖPINGS LÄN</t>
        </is>
      </c>
      <c r="G135" t="inlineStr">
        <is>
          <t>VÄRNAMO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46316</v>
      </c>
      <c r="F136" t="inlineStr">
        <is>
          <t>JÖNKÖPINGS LÄN</t>
        </is>
      </c>
      <c r="G136" t="inlineStr">
        <is>
          <t>VÄRNAMO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45735</v>
      </c>
      <c r="E137" s="1" t="n">
        <v>46316</v>
      </c>
      <c r="F137" t="inlineStr">
        <is>
          <t>JÖNKÖPINGS LÄN</t>
        </is>
      </c>
      <c r="G137" t="inlineStr">
        <is>
          <t>VÄRNAMO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45853</v>
      </c>
      <c r="E138" s="1" t="n">
        <v>46316</v>
      </c>
      <c r="F138" t="inlineStr">
        <is>
          <t>JÖNKÖPINGS LÄN</t>
        </is>
      </c>
      <c r="G138" t="inlineStr">
        <is>
          <t>VÄRNAMO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46316</v>
      </c>
      <c r="F139" t="inlineStr">
        <is>
          <t>JÖNKÖPINGS LÄN</t>
        </is>
      </c>
      <c r="G139" t="inlineStr">
        <is>
          <t>VÄRNAMO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46316</v>
      </c>
      <c r="F140" t="inlineStr">
        <is>
          <t>JÖNKÖPINGS LÄN</t>
        </is>
      </c>
      <c r="G140" t="inlineStr">
        <is>
          <t>VÄRNAMO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46316</v>
      </c>
      <c r="F141" t="inlineStr">
        <is>
          <t>JÖNKÖPINGS LÄN</t>
        </is>
      </c>
      <c r="G141" t="inlineStr">
        <is>
          <t>VÄRNAMO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46316</v>
      </c>
      <c r="F142" t="inlineStr">
        <is>
          <t>JÖNKÖPINGS LÄN</t>
        </is>
      </c>
      <c r="G142" t="inlineStr">
        <is>
          <t>VÄRNAMO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40847-2024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45558</v>
      </c>
      <c r="E143" s="1" t="n">
        <v>46316</v>
      </c>
      <c r="F143" t="inlineStr">
        <is>
          <t>JÖNKÖPINGS LÄN</t>
        </is>
      </c>
      <c r="G143" t="inlineStr">
        <is>
          <t>VÄRNAMO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46316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29382-2024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45483</v>
      </c>
      <c r="E145" s="1" t="n">
        <v>46316</v>
      </c>
      <c r="F145" t="inlineStr">
        <is>
          <t>JÖNKÖPINGS LÄN</t>
        </is>
      </c>
      <c r="G145" t="inlineStr">
        <is>
          <t>VÄRNAMO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46316</v>
      </c>
      <c r="F146" t="inlineStr">
        <is>
          <t>JÖNKÖPINGS LÄN</t>
        </is>
      </c>
      <c r="G146" t="inlineStr">
        <is>
          <t>VÄRNAMO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45761</v>
      </c>
      <c r="E147" s="1" t="n">
        <v>46316</v>
      </c>
      <c r="F147" t="inlineStr">
        <is>
          <t>JÖNKÖPINGS LÄN</t>
        </is>
      </c>
      <c r="G147" t="inlineStr">
        <is>
          <t>VÄRNAMO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46316</v>
      </c>
      <c r="F148" t="inlineStr">
        <is>
          <t>JÖNKÖPINGS LÄN</t>
        </is>
      </c>
      <c r="G148" t="inlineStr">
        <is>
          <t>VÄRNAMO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46316</v>
      </c>
      <c r="F149" t="inlineStr">
        <is>
          <t>JÖNKÖPINGS LÄN</t>
        </is>
      </c>
      <c r="G149" t="inlineStr">
        <is>
          <t>VÄRNAMO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45670</v>
      </c>
      <c r="E150" s="1" t="n">
        <v>46316</v>
      </c>
      <c r="F150" t="inlineStr">
        <is>
          <t>JÖNKÖPINGS LÄN</t>
        </is>
      </c>
      <c r="G150" t="inlineStr">
        <is>
          <t>VÄRNAMO</t>
        </is>
      </c>
      <c r="I150" t="n">
        <v>12.6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46316</v>
      </c>
      <c r="F151" t="inlineStr">
        <is>
          <t>JÖNKÖPINGS LÄN</t>
        </is>
      </c>
      <c r="G151" t="inlineStr">
        <is>
          <t>VÄRNAMO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46316</v>
      </c>
      <c r="F152" t="inlineStr">
        <is>
          <t>JÖNKÖPINGS LÄN</t>
        </is>
      </c>
      <c r="G152" t="inlineStr">
        <is>
          <t>VÄRNAMO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45328</v>
      </c>
      <c r="E153" s="1" t="n">
        <v>46316</v>
      </c>
      <c r="F153" t="inlineStr">
        <is>
          <t>JÖNKÖPINGS LÄN</t>
        </is>
      </c>
      <c r="G153" t="inlineStr">
        <is>
          <t>VÄRNAMO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13065-2025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45734</v>
      </c>
      <c r="E154" s="1" t="n">
        <v>46316</v>
      </c>
      <c r="F154" t="inlineStr">
        <is>
          <t>JÖNKÖPINGS LÄN</t>
        </is>
      </c>
      <c r="G154" t="inlineStr">
        <is>
          <t>VÄRNAMO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46316</v>
      </c>
      <c r="F155" t="inlineStr">
        <is>
          <t>JÖNKÖPINGS LÄN</t>
        </is>
      </c>
      <c r="G155" t="inlineStr">
        <is>
          <t>VÄRNAMO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46029</v>
      </c>
      <c r="E156" s="1" t="n">
        <v>46316</v>
      </c>
      <c r="F156" t="inlineStr">
        <is>
          <t>JÖNKÖPINGS LÄN</t>
        </is>
      </c>
      <c r="G156" t="inlineStr">
        <is>
          <t>VÄRNAMO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46316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46316</v>
      </c>
      <c r="F158" t="inlineStr">
        <is>
          <t>JÖNKÖPINGS LÄN</t>
        </is>
      </c>
      <c r="G158" t="inlineStr">
        <is>
          <t>VÄRNAMO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46316</v>
      </c>
      <c r="F159" t="inlineStr">
        <is>
          <t>JÖNKÖPINGS LÄN</t>
        </is>
      </c>
      <c r="G159" t="inlineStr">
        <is>
          <t>VÄRNAMO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46316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46316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46316</v>
      </c>
      <c r="F162" t="inlineStr">
        <is>
          <t>JÖNKÖPINGS LÄN</t>
        </is>
      </c>
      <c r="G162" t="inlineStr">
        <is>
          <t>VÄRNAMO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46316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46316</v>
      </c>
      <c r="F164" t="inlineStr">
        <is>
          <t>JÖNKÖPINGS LÄN</t>
        </is>
      </c>
      <c r="G164" t="inlineStr">
        <is>
          <t>VÄRNAMO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46316</v>
      </c>
      <c r="F165" t="inlineStr">
        <is>
          <t>JÖNKÖPINGS LÄN</t>
        </is>
      </c>
      <c r="G165" t="inlineStr">
        <is>
          <t>VÄRNAMO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46316</v>
      </c>
      <c r="F166" t="inlineStr">
        <is>
          <t>JÖNKÖPINGS LÄN</t>
        </is>
      </c>
      <c r="G166" t="inlineStr">
        <is>
          <t>VÄRNAMO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46316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46316</v>
      </c>
      <c r="F168" t="inlineStr">
        <is>
          <t>JÖNKÖPINGS LÄN</t>
        </is>
      </c>
      <c r="G168" t="inlineStr">
        <is>
          <t>VÄRNAMO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46316</v>
      </c>
      <c r="F169" t="inlineStr">
        <is>
          <t>JÖNKÖPINGS LÄN</t>
        </is>
      </c>
      <c r="G169" t="inlineStr">
        <is>
          <t>VÄRNAMO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45820</v>
      </c>
      <c r="E170" s="1" t="n">
        <v>46316</v>
      </c>
      <c r="F170" t="inlineStr">
        <is>
          <t>JÖNKÖPINGS LÄN</t>
        </is>
      </c>
      <c r="G170" t="inlineStr">
        <is>
          <t>VÄRNAMO</t>
        </is>
      </c>
      <c r="H170" t="inlineStr">
        <is>
          <t>Kyrkan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46316</v>
      </c>
      <c r="F171" t="inlineStr">
        <is>
          <t>JÖNKÖPINGS LÄN</t>
        </is>
      </c>
      <c r="G171" t="inlineStr">
        <is>
          <t>VÄRNAMO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46316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46316</v>
      </c>
      <c r="F173" t="inlineStr">
        <is>
          <t>JÖNKÖPINGS LÄN</t>
        </is>
      </c>
      <c r="G173" t="inlineStr">
        <is>
          <t>VÄRNAMO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46316</v>
      </c>
      <c r="F174" t="inlineStr">
        <is>
          <t>JÖNKÖPINGS LÄN</t>
        </is>
      </c>
      <c r="G174" t="inlineStr">
        <is>
          <t>VÄRNAMO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46316</v>
      </c>
      <c r="F175" t="inlineStr">
        <is>
          <t>JÖNKÖPINGS LÄN</t>
        </is>
      </c>
      <c r="G175" t="inlineStr">
        <is>
          <t>VÄRNAMO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46316</v>
      </c>
      <c r="F176" t="inlineStr">
        <is>
          <t>JÖNKÖPINGS LÄN</t>
        </is>
      </c>
      <c r="G176" t="inlineStr">
        <is>
          <t>VÄRNAMO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44981</v>
      </c>
      <c r="E177" s="1" t="n">
        <v>46316</v>
      </c>
      <c r="F177" t="inlineStr">
        <is>
          <t>JÖNKÖPINGS LÄN</t>
        </is>
      </c>
      <c r="G177" t="inlineStr">
        <is>
          <t>VÄRNAMO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46316</v>
      </c>
      <c r="F178" t="inlineStr">
        <is>
          <t>JÖNKÖPINGS LÄN</t>
        </is>
      </c>
      <c r="G178" t="inlineStr">
        <is>
          <t>VÄRNAMO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46316</v>
      </c>
      <c r="F179" t="inlineStr">
        <is>
          <t>JÖNKÖPINGS LÄN</t>
        </is>
      </c>
      <c r="G179" t="inlineStr">
        <is>
          <t>VÄRNAMO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46316</v>
      </c>
      <c r="F180" t="inlineStr">
        <is>
          <t>JÖNKÖPINGS LÄN</t>
        </is>
      </c>
      <c r="G180" t="inlineStr">
        <is>
          <t>VÄRNAMO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46316</v>
      </c>
      <c r="F181" t="inlineStr">
        <is>
          <t>JÖNKÖPINGS LÄN</t>
        </is>
      </c>
      <c r="G181" t="inlineStr">
        <is>
          <t>VÄRNAMO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46316</v>
      </c>
      <c r="F182" t="inlineStr">
        <is>
          <t>JÖNKÖPINGS LÄN</t>
        </is>
      </c>
      <c r="G182" t="inlineStr">
        <is>
          <t>VÄRNAMO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46316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46316</v>
      </c>
      <c r="F184" t="inlineStr">
        <is>
          <t>JÖNKÖPINGS LÄN</t>
        </is>
      </c>
      <c r="G184" t="inlineStr">
        <is>
          <t>VÄRNAMO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46316</v>
      </c>
      <c r="F185" t="inlineStr">
        <is>
          <t>JÖNKÖPINGS LÄN</t>
        </is>
      </c>
      <c r="G185" t="inlineStr">
        <is>
          <t>VÄRNAMO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46316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46316</v>
      </c>
      <c r="F187" t="inlineStr">
        <is>
          <t>JÖNKÖPINGS LÄN</t>
        </is>
      </c>
      <c r="G187" t="inlineStr">
        <is>
          <t>VÄRNAMO</t>
        </is>
      </c>
      <c r="H187" t="inlineStr">
        <is>
          <t>Övriga Aktiebolag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46316</v>
      </c>
      <c r="F188" t="inlineStr">
        <is>
          <t>JÖNKÖPINGS LÄN</t>
        </is>
      </c>
      <c r="G188" t="inlineStr">
        <is>
          <t>VÄRNAMO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46316</v>
      </c>
      <c r="F189" t="inlineStr">
        <is>
          <t>JÖNKÖPINGS LÄN</t>
        </is>
      </c>
      <c r="G189" t="inlineStr">
        <is>
          <t>VÄRNAMO</t>
        </is>
      </c>
      <c r="H189" t="inlineStr">
        <is>
          <t>Övriga Aktiebolag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46316</v>
      </c>
      <c r="F190" t="inlineStr">
        <is>
          <t>JÖNKÖPINGS LÄN</t>
        </is>
      </c>
      <c r="G190" t="inlineStr">
        <is>
          <t>VÄRNAMO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5350-2026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46050</v>
      </c>
      <c r="E191" s="1" t="n">
        <v>46316</v>
      </c>
      <c r="F191" t="inlineStr">
        <is>
          <t>JÖNKÖPINGS LÄN</t>
        </is>
      </c>
      <c r="G191" t="inlineStr">
        <is>
          <t>VÄRNAMO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44971</v>
      </c>
      <c r="E192" s="1" t="n">
        <v>46316</v>
      </c>
      <c r="F192" t="inlineStr">
        <is>
          <t>JÖNKÖPINGS LÄN</t>
        </is>
      </c>
      <c r="G192" t="inlineStr">
        <is>
          <t>VÄRNAMO</t>
        </is>
      </c>
      <c r="H192" t="inlineStr">
        <is>
          <t>Kommuner</t>
        </is>
      </c>
      <c r="I192" t="n">
        <v>12.9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17323-2022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46316</v>
      </c>
      <c r="F193" t="inlineStr">
        <is>
          <t>JÖNKÖPINGS LÄN</t>
        </is>
      </c>
      <c r="G193" t="inlineStr">
        <is>
          <t>VÄRNAMO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46316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46316</v>
      </c>
      <c r="F195" t="inlineStr">
        <is>
          <t>JÖNKÖPINGS LÄN</t>
        </is>
      </c>
      <c r="G195" t="inlineStr">
        <is>
          <t>VÄRNAMO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46316</v>
      </c>
      <c r="F196" t="inlineStr">
        <is>
          <t>JÖNKÖPINGS LÄN</t>
        </is>
      </c>
      <c r="G196" t="inlineStr">
        <is>
          <t>VÄRNAMO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45531</v>
      </c>
      <c r="E197" s="1" t="n">
        <v>46316</v>
      </c>
      <c r="F197" t="inlineStr">
        <is>
          <t>JÖNKÖPINGS LÄN</t>
        </is>
      </c>
      <c r="G197" t="inlineStr">
        <is>
          <t>VÄRNAMO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46316</v>
      </c>
      <c r="F198" t="inlineStr">
        <is>
          <t>JÖNKÖPINGS LÄN</t>
        </is>
      </c>
      <c r="G198" t="inlineStr">
        <is>
          <t>VÄRNAMO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46316</v>
      </c>
      <c r="F199" t="inlineStr">
        <is>
          <t>JÖNKÖPINGS LÄN</t>
        </is>
      </c>
      <c r="G199" t="inlineStr">
        <is>
          <t>VÄRNAMO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46316</v>
      </c>
      <c r="F200" t="inlineStr">
        <is>
          <t>JÖNKÖPINGS LÄN</t>
        </is>
      </c>
      <c r="G200" t="inlineStr">
        <is>
          <t>VÄRNAMO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46316</v>
      </c>
      <c r="F201" t="inlineStr">
        <is>
          <t>JÖNKÖPINGS LÄN</t>
        </is>
      </c>
      <c r="G201" t="inlineStr">
        <is>
          <t>VÄRNAMO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46316</v>
      </c>
      <c r="F202" t="inlineStr">
        <is>
          <t>JÖNKÖPINGS LÄN</t>
        </is>
      </c>
      <c r="G202" t="inlineStr">
        <is>
          <t>VÄRNAMO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46316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46316</v>
      </c>
      <c r="F204" t="inlineStr">
        <is>
          <t>JÖNKÖPINGS LÄN</t>
        </is>
      </c>
      <c r="G204" t="inlineStr">
        <is>
          <t>VÄRNAMO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46316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46316</v>
      </c>
      <c r="F206" t="inlineStr">
        <is>
          <t>JÖNKÖPINGS LÄN</t>
        </is>
      </c>
      <c r="G206" t="inlineStr">
        <is>
          <t>VÄRNAMO</t>
        </is>
      </c>
      <c r="H206" t="inlineStr">
        <is>
          <t>Sveaskog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46316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46316</v>
      </c>
      <c r="F208" t="inlineStr">
        <is>
          <t>JÖNKÖPINGS LÄN</t>
        </is>
      </c>
      <c r="G208" t="inlineStr">
        <is>
          <t>VÄRNAMO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46316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10031-2026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46316</v>
      </c>
      <c r="F210" t="inlineStr">
        <is>
          <t>JÖNKÖPINGS LÄN</t>
        </is>
      </c>
      <c r="G210" t="inlineStr">
        <is>
          <t>VÄRNAMO</t>
        </is>
      </c>
      <c r="H210" t="inlineStr">
        <is>
          <t>Sveaskog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45221</v>
      </c>
      <c r="E211" s="1" t="n">
        <v>46316</v>
      </c>
      <c r="F211" t="inlineStr">
        <is>
          <t>JÖNKÖPINGS LÄN</t>
        </is>
      </c>
      <c r="G211" t="inlineStr">
        <is>
          <t>VÄRNAMO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44903</v>
      </c>
      <c r="E212" s="1" t="n">
        <v>46316</v>
      </c>
      <c r="F212" t="inlineStr">
        <is>
          <t>JÖNKÖPINGS LÄN</t>
        </is>
      </c>
      <c r="G212" t="inlineStr">
        <is>
          <t>VÄRNAMO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46316</v>
      </c>
      <c r="F213" t="inlineStr">
        <is>
          <t>JÖNKÖPINGS LÄN</t>
        </is>
      </c>
      <c r="G213" t="inlineStr">
        <is>
          <t>VÄRNAMO</t>
        </is>
      </c>
      <c r="H213" t="inlineStr">
        <is>
          <t>Kommuner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44846</v>
      </c>
      <c r="E214" s="1" t="n">
        <v>46316</v>
      </c>
      <c r="F214" t="inlineStr">
        <is>
          <t>JÖNKÖPINGS LÄN</t>
        </is>
      </c>
      <c r="G214" t="inlineStr">
        <is>
          <t>VÄRNAMO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46316</v>
      </c>
      <c r="F215" t="inlineStr">
        <is>
          <t>JÖNKÖPINGS LÄN</t>
        </is>
      </c>
      <c r="G215" t="inlineStr">
        <is>
          <t>VÄRNAMO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46316</v>
      </c>
      <c r="F216" t="inlineStr">
        <is>
          <t>JÖNKÖPINGS LÄN</t>
        </is>
      </c>
      <c r="G216" t="inlineStr">
        <is>
          <t>VÄRNAMO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46316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12095-2026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46086</v>
      </c>
      <c r="E218" s="1" t="n">
        <v>46316</v>
      </c>
      <c r="F218" t="inlineStr">
        <is>
          <t>JÖNKÖPINGS LÄN</t>
        </is>
      </c>
      <c r="G218" t="inlineStr">
        <is>
          <t>VÄRNAMO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44956</v>
      </c>
      <c r="E219" s="1" t="n">
        <v>46316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44602</v>
      </c>
      <c r="E220" s="1" t="n">
        <v>46316</v>
      </c>
      <c r="F220" t="inlineStr">
        <is>
          <t>JÖNKÖPINGS LÄN</t>
        </is>
      </c>
      <c r="G220" t="inlineStr">
        <is>
          <t>VÄRNAMO</t>
        </is>
      </c>
      <c r="H220" t="inlineStr">
        <is>
          <t>Kommuner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47738-2023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45203</v>
      </c>
      <c r="E221" s="1" t="n">
        <v>46316</v>
      </c>
      <c r="F221" t="inlineStr">
        <is>
          <t>JÖNKÖPINGS LÄN</t>
        </is>
      </c>
      <c r="G221" t="inlineStr">
        <is>
          <t>VÄRNAMO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44642</v>
      </c>
      <c r="E222" s="1" t="n">
        <v>46316</v>
      </c>
      <c r="F222" t="inlineStr">
        <is>
          <t>JÖNKÖPINGS LÄN</t>
        </is>
      </c>
      <c r="G222" t="inlineStr">
        <is>
          <t>VÄRNAMO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44642</v>
      </c>
      <c r="E223" s="1" t="n">
        <v>46316</v>
      </c>
      <c r="F223" t="inlineStr">
        <is>
          <t>JÖNKÖPINGS LÄN</t>
        </is>
      </c>
      <c r="G223" t="inlineStr">
        <is>
          <t>VÄRNAMO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46316</v>
      </c>
      <c r="F224" t="inlineStr">
        <is>
          <t>JÖNKÖPINGS LÄN</t>
        </is>
      </c>
      <c r="G224" t="inlineStr">
        <is>
          <t>VÄRNAMO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46316</v>
      </c>
      <c r="F225" t="inlineStr">
        <is>
          <t>JÖNKÖPINGS LÄN</t>
        </is>
      </c>
      <c r="G225" t="inlineStr">
        <is>
          <t>VÄRNAMO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46316</v>
      </c>
      <c r="F226" t="inlineStr">
        <is>
          <t>JÖNKÖPINGS LÄN</t>
        </is>
      </c>
      <c r="G226" t="inlineStr">
        <is>
          <t>VÄRNAMO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13284-2026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46316</v>
      </c>
      <c r="F227" t="inlineStr">
        <is>
          <t>JÖNKÖPINGS LÄN</t>
        </is>
      </c>
      <c r="G227" t="inlineStr">
        <is>
          <t>VÄRNAMO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53473-2025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45959</v>
      </c>
      <c r="E228" s="1" t="n">
        <v>46316</v>
      </c>
      <c r="F228" t="inlineStr">
        <is>
          <t>JÖNKÖPINGS LÄN</t>
        </is>
      </c>
      <c r="G228" t="inlineStr">
        <is>
          <t>VÄRNAMO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45610</v>
      </c>
      <c r="E229" s="1" t="n">
        <v>46316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44577</v>
      </c>
      <c r="E230" s="1" t="n">
        <v>46316</v>
      </c>
      <c r="F230" t="inlineStr">
        <is>
          <t>JÖNKÖPINGS LÄN</t>
        </is>
      </c>
      <c r="G230" t="inlineStr">
        <is>
          <t>VÄRNAMO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46316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46316</v>
      </c>
      <c r="F232" t="inlineStr">
        <is>
          <t>JÖNKÖPINGS LÄN</t>
        </is>
      </c>
      <c r="G232" t="inlineStr">
        <is>
          <t>VÄRNAMO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45587</v>
      </c>
      <c r="E233" s="1" t="n">
        <v>46316</v>
      </c>
      <c r="F233" t="inlineStr">
        <is>
          <t>JÖNKÖPINGS LÄN</t>
        </is>
      </c>
      <c r="G233" t="inlineStr">
        <is>
          <t>VÄRNAMO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45587</v>
      </c>
      <c r="E234" s="1" t="n">
        <v>46316</v>
      </c>
      <c r="F234" t="inlineStr">
        <is>
          <t>JÖNKÖPINGS LÄN</t>
        </is>
      </c>
      <c r="G234" t="inlineStr">
        <is>
          <t>VÄRNAMO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46316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46316</v>
      </c>
      <c r="F236" t="inlineStr">
        <is>
          <t>JÖNKÖPINGS LÄN</t>
        </is>
      </c>
      <c r="G236" t="inlineStr">
        <is>
          <t>VÄRNAMO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46316</v>
      </c>
      <c r="F237" t="inlineStr">
        <is>
          <t>JÖNKÖPINGS LÄN</t>
        </is>
      </c>
      <c r="G237" t="inlineStr">
        <is>
          <t>VÄRNAMO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46316</v>
      </c>
      <c r="F238" t="inlineStr">
        <is>
          <t>JÖNKÖPINGS LÄN</t>
        </is>
      </c>
      <c r="G238" t="inlineStr">
        <is>
          <t>VÄRNAMO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46316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46316</v>
      </c>
      <c r="F240" t="inlineStr">
        <is>
          <t>JÖNKÖPINGS LÄN</t>
        </is>
      </c>
      <c r="G240" t="inlineStr">
        <is>
          <t>VÄRNAMO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24703-2022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44727</v>
      </c>
      <c r="E241" s="1" t="n">
        <v>46316</v>
      </c>
      <c r="F241" t="inlineStr">
        <is>
          <t>JÖNKÖPINGS LÄN</t>
        </is>
      </c>
      <c r="G241" t="inlineStr">
        <is>
          <t>VÄRNAMO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46316</v>
      </c>
      <c r="F242" t="inlineStr">
        <is>
          <t>JÖNKÖPINGS LÄN</t>
        </is>
      </c>
      <c r="G242" t="inlineStr">
        <is>
          <t>VÄRNAMO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46316</v>
      </c>
      <c r="F243" t="inlineStr">
        <is>
          <t>JÖNKÖPINGS LÄN</t>
        </is>
      </c>
      <c r="G243" t="inlineStr">
        <is>
          <t>VÄRNAMO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46316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46316</v>
      </c>
      <c r="F245" t="inlineStr">
        <is>
          <t>JÖNKÖPINGS LÄN</t>
        </is>
      </c>
      <c r="G245" t="inlineStr">
        <is>
          <t>VÄRNAMO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46316</v>
      </c>
      <c r="F246" t="inlineStr">
        <is>
          <t>JÖNKÖPINGS LÄN</t>
        </is>
      </c>
      <c r="G246" t="inlineStr">
        <is>
          <t>VÄRNAMO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46316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62276-2023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45267</v>
      </c>
      <c r="E248" s="1" t="n">
        <v>46316</v>
      </c>
      <c r="F248" t="inlineStr">
        <is>
          <t>JÖNKÖPINGS LÄN</t>
        </is>
      </c>
      <c r="G248" t="inlineStr">
        <is>
          <t>VÄRNAMO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46316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46316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46316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46316</v>
      </c>
      <c r="F252" t="inlineStr">
        <is>
          <t>JÖNKÖPINGS LÄN</t>
        </is>
      </c>
      <c r="G252" t="inlineStr">
        <is>
          <t>VÄRNAMO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46316</v>
      </c>
      <c r="F253" t="inlineStr">
        <is>
          <t>JÖNKÖPINGS LÄN</t>
        </is>
      </c>
      <c r="G253" t="inlineStr">
        <is>
          <t>VÄRNAMO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45805</v>
      </c>
      <c r="E254" s="1" t="n">
        <v>46316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45967</v>
      </c>
      <c r="E255" s="1" t="n">
        <v>46316</v>
      </c>
      <c r="F255" t="inlineStr">
        <is>
          <t>JÖNKÖPINGS LÄN</t>
        </is>
      </c>
      <c r="G255" t="inlineStr">
        <is>
          <t>VÄRNAMO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45659</v>
      </c>
      <c r="E256" s="1" t="n">
        <v>46316</v>
      </c>
      <c r="F256" t="inlineStr">
        <is>
          <t>JÖNKÖPINGS LÄN</t>
        </is>
      </c>
      <c r="G256" t="inlineStr">
        <is>
          <t>VÄRNAMO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46316</v>
      </c>
      <c r="F257" t="inlineStr">
        <is>
          <t>JÖNKÖPINGS LÄN</t>
        </is>
      </c>
      <c r="G257" t="inlineStr">
        <is>
          <t>VÄRNAMO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46316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15101-2026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46101</v>
      </c>
      <c r="E259" s="1" t="n">
        <v>46316</v>
      </c>
      <c r="F259" t="inlineStr">
        <is>
          <t>JÖNKÖPINGS LÄN</t>
        </is>
      </c>
      <c r="G259" t="inlineStr">
        <is>
          <t>VÄRNAMO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55527-2025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46316</v>
      </c>
      <c r="F260" t="inlineStr">
        <is>
          <t>JÖNKÖPINGS LÄN</t>
        </is>
      </c>
      <c r="G260" t="inlineStr">
        <is>
          <t>VÄRNAMO</t>
        </is>
      </c>
      <c r="H260" t="inlineStr">
        <is>
          <t>Kommuner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46316</v>
      </c>
      <c r="F261" t="inlineStr">
        <is>
          <t>JÖNKÖPINGS LÄN</t>
        </is>
      </c>
      <c r="G261" t="inlineStr">
        <is>
          <t>VÄRNAMO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46316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45203</v>
      </c>
      <c r="E263" s="1" t="n">
        <v>46316</v>
      </c>
      <c r="F263" t="inlineStr">
        <is>
          <t>JÖNKÖPINGS LÄN</t>
        </is>
      </c>
      <c r="G263" t="inlineStr">
        <is>
          <t>VÄRNAMO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44840</v>
      </c>
      <c r="E264" s="1" t="n">
        <v>46316</v>
      </c>
      <c r="F264" t="inlineStr">
        <is>
          <t>JÖNKÖPINGS LÄN</t>
        </is>
      </c>
      <c r="G264" t="inlineStr">
        <is>
          <t>VÄRNAMO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46316</v>
      </c>
      <c r="F265" t="inlineStr">
        <is>
          <t>JÖNKÖPINGS LÄN</t>
        </is>
      </c>
      <c r="G265" t="inlineStr">
        <is>
          <t>VÄRNAMO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46316</v>
      </c>
      <c r="F266" t="inlineStr">
        <is>
          <t>JÖNKÖPINGS LÄN</t>
        </is>
      </c>
      <c r="G266" t="inlineStr">
        <is>
          <t>VÄRNAMO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46316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46316</v>
      </c>
      <c r="F268" t="inlineStr">
        <is>
          <t>JÖNKÖPINGS LÄN</t>
        </is>
      </c>
      <c r="G268" t="inlineStr">
        <is>
          <t>VÄRNAMO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46316</v>
      </c>
      <c r="F269" t="inlineStr">
        <is>
          <t>JÖNKÖPINGS LÄN</t>
        </is>
      </c>
      <c r="G269" t="inlineStr">
        <is>
          <t>VÄRNAMO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46316</v>
      </c>
      <c r="F270" t="inlineStr">
        <is>
          <t>JÖNKÖPINGS LÄN</t>
        </is>
      </c>
      <c r="G270" t="inlineStr">
        <is>
          <t>VÄRNAMO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46316</v>
      </c>
      <c r="F271" t="inlineStr">
        <is>
          <t>JÖNKÖPINGS LÄN</t>
        </is>
      </c>
      <c r="G271" t="inlineStr">
        <is>
          <t>VÄRNAMO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46316</v>
      </c>
      <c r="F272" t="inlineStr">
        <is>
          <t>JÖNKÖPINGS LÄN</t>
        </is>
      </c>
      <c r="G272" t="inlineStr">
        <is>
          <t>VÄRNAMO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33378-2025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46316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46316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45217</v>
      </c>
      <c r="E275" s="1" t="n">
        <v>46316</v>
      </c>
      <c r="F275" t="inlineStr">
        <is>
          <t>JÖNKÖPINGS LÄN</t>
        </is>
      </c>
      <c r="G275" t="inlineStr">
        <is>
          <t>VÄRNAMO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46316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58785-2025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45986</v>
      </c>
      <c r="E277" s="1" t="n">
        <v>46316</v>
      </c>
      <c r="F277" t="inlineStr">
        <is>
          <t>JÖNKÖPINGS LÄN</t>
        </is>
      </c>
      <c r="G277" t="inlineStr">
        <is>
          <t>VÄRNAMO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45845</v>
      </c>
      <c r="E278" s="1" t="n">
        <v>46316</v>
      </c>
      <c r="F278" t="inlineStr">
        <is>
          <t>JÖNKÖPINGS LÄN</t>
        </is>
      </c>
      <c r="G278" t="inlineStr">
        <is>
          <t>VÄRNAMO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45987</v>
      </c>
      <c r="E279" s="1" t="n">
        <v>46316</v>
      </c>
      <c r="F279" t="inlineStr">
        <is>
          <t>JÖNKÖPINGS LÄN</t>
        </is>
      </c>
      <c r="G279" t="inlineStr">
        <is>
          <t>VÄRNAMO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46316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46316</v>
      </c>
      <c r="F281" t="inlineStr">
        <is>
          <t>JÖNKÖPINGS LÄN</t>
        </is>
      </c>
      <c r="G281" t="inlineStr">
        <is>
          <t>VÄRNAMO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46316</v>
      </c>
      <c r="F282" t="inlineStr">
        <is>
          <t>JÖNKÖPINGS LÄN</t>
        </is>
      </c>
      <c r="G282" t="inlineStr">
        <is>
          <t>VÄRNAMO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46316</v>
      </c>
      <c r="F283" t="inlineStr">
        <is>
          <t>JÖNKÖPINGS LÄN</t>
        </is>
      </c>
      <c r="G283" t="inlineStr">
        <is>
          <t>VÄRNAMO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45324</v>
      </c>
      <c r="E284" s="1" t="n">
        <v>46316</v>
      </c>
      <c r="F284" t="inlineStr">
        <is>
          <t>JÖNKÖPINGS LÄN</t>
        </is>
      </c>
      <c r="G284" t="inlineStr">
        <is>
          <t>VÄRNAMO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46316</v>
      </c>
      <c r="F285" t="inlineStr">
        <is>
          <t>JÖNKÖPINGS LÄN</t>
        </is>
      </c>
      <c r="G285" t="inlineStr">
        <is>
          <t>VÄRNAMO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46316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45586</v>
      </c>
      <c r="E287" s="1" t="n">
        <v>46316</v>
      </c>
      <c r="F287" t="inlineStr">
        <is>
          <t>JÖNKÖPINGS LÄN</t>
        </is>
      </c>
      <c r="G287" t="inlineStr">
        <is>
          <t>VÄRNAMO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46316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46316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46316</v>
      </c>
      <c r="F290" t="inlineStr">
        <is>
          <t>JÖNKÖPINGS LÄN</t>
        </is>
      </c>
      <c r="G290" t="inlineStr">
        <is>
          <t>VÄRNAMO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46316</v>
      </c>
      <c r="F291" t="inlineStr">
        <is>
          <t>JÖNKÖPINGS LÄN</t>
        </is>
      </c>
      <c r="G291" t="inlineStr">
        <is>
          <t>VÄRNAMO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46316</v>
      </c>
      <c r="F292" t="inlineStr">
        <is>
          <t>JÖNKÖPINGS LÄN</t>
        </is>
      </c>
      <c r="G292" t="inlineStr">
        <is>
          <t>VÄRNAMO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46316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46316</v>
      </c>
      <c r="F294" t="inlineStr">
        <is>
          <t>JÖNKÖPINGS LÄN</t>
        </is>
      </c>
      <c r="G294" t="inlineStr">
        <is>
          <t>VÄRNAMO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59757-2021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44494</v>
      </c>
      <c r="E295" s="1" t="n">
        <v>46316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46316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46316</v>
      </c>
      <c r="F297" t="inlineStr">
        <is>
          <t>JÖNKÖPINGS LÄN</t>
        </is>
      </c>
      <c r="G297" t="inlineStr">
        <is>
          <t>VÄRNAMO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44853</v>
      </c>
      <c r="E298" s="1" t="n">
        <v>46316</v>
      </c>
      <c r="F298" t="inlineStr">
        <is>
          <t>JÖNKÖPINGS LÄN</t>
        </is>
      </c>
      <c r="G298" t="inlineStr">
        <is>
          <t>VÄRNAMO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47987-2022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44853</v>
      </c>
      <c r="E299" s="1" t="n">
        <v>46316</v>
      </c>
      <c r="F299" t="inlineStr">
        <is>
          <t>JÖNKÖPINGS LÄN</t>
        </is>
      </c>
      <c r="G299" t="inlineStr">
        <is>
          <t>VÄRNAMO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46316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45853</v>
      </c>
      <c r="E301" s="1" t="n">
        <v>46316</v>
      </c>
      <c r="F301" t="inlineStr">
        <is>
          <t>JÖNKÖPINGS LÄN</t>
        </is>
      </c>
      <c r="G301" t="inlineStr">
        <is>
          <t>VÄRNAMO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46316</v>
      </c>
      <c r="F302" t="inlineStr">
        <is>
          <t>JÖNKÖPINGS LÄN</t>
        </is>
      </c>
      <c r="G302" t="inlineStr">
        <is>
          <t>VÄRNAMO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45748</v>
      </c>
      <c r="E303" s="1" t="n">
        <v>46316</v>
      </c>
      <c r="F303" t="inlineStr">
        <is>
          <t>JÖNKÖPINGS LÄN</t>
        </is>
      </c>
      <c r="G303" t="inlineStr">
        <is>
          <t>VÄRNAMO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46316</v>
      </c>
      <c r="F304" t="inlineStr">
        <is>
          <t>JÖNKÖPINGS LÄN</t>
        </is>
      </c>
      <c r="G304" t="inlineStr">
        <is>
          <t>VÄRNAMO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46316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44984</v>
      </c>
      <c r="E306" s="1" t="n">
        <v>46316</v>
      </c>
      <c r="F306" t="inlineStr">
        <is>
          <t>JÖNKÖPINGS LÄN</t>
        </is>
      </c>
      <c r="G306" t="inlineStr">
        <is>
          <t>VÄRNAMO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46316</v>
      </c>
      <c r="F307" t="inlineStr">
        <is>
          <t>JÖNKÖPINGS LÄN</t>
        </is>
      </c>
      <c r="G307" t="inlineStr">
        <is>
          <t>VÄRNAMO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45509</v>
      </c>
      <c r="E308" s="1" t="n">
        <v>46316</v>
      </c>
      <c r="F308" t="inlineStr">
        <is>
          <t>JÖNKÖPINGS LÄN</t>
        </is>
      </c>
      <c r="G308" t="inlineStr">
        <is>
          <t>VÄRNAMO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46316</v>
      </c>
      <c r="F309" t="inlineStr">
        <is>
          <t>JÖNKÖPINGS LÄN</t>
        </is>
      </c>
      <c r="G309" t="inlineStr">
        <is>
          <t>VÄRNAMO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46316</v>
      </c>
      <c r="F310" t="inlineStr">
        <is>
          <t>JÖNKÖPINGS LÄN</t>
        </is>
      </c>
      <c r="G310" t="inlineStr">
        <is>
          <t>VÄRNAMO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46316</v>
      </c>
      <c r="F311" t="inlineStr">
        <is>
          <t>JÖNKÖPINGS LÄN</t>
        </is>
      </c>
      <c r="G311" t="inlineStr">
        <is>
          <t>VÄRNAMO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45889</v>
      </c>
      <c r="E312" s="1" t="n">
        <v>46316</v>
      </c>
      <c r="F312" t="inlineStr">
        <is>
          <t>JÖNKÖPINGS LÄN</t>
        </is>
      </c>
      <c r="G312" t="inlineStr">
        <is>
          <t>VÄRNAMO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20249-2026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46139</v>
      </c>
      <c r="E313" s="1" t="n">
        <v>46316</v>
      </c>
      <c r="F313" t="inlineStr">
        <is>
          <t>JÖNKÖPINGS LÄN</t>
        </is>
      </c>
      <c r="G313" t="inlineStr">
        <is>
          <t>VÄRNAMO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46316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46316</v>
      </c>
      <c r="F315" t="inlineStr">
        <is>
          <t>JÖNKÖPINGS LÄN</t>
        </is>
      </c>
      <c r="G315" t="inlineStr">
        <is>
          <t>VÄRNAMO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45873</v>
      </c>
      <c r="E316" s="1" t="n">
        <v>46316</v>
      </c>
      <c r="F316" t="inlineStr">
        <is>
          <t>JÖNKÖPINGS LÄN</t>
        </is>
      </c>
      <c r="G316" t="inlineStr">
        <is>
          <t>VÄRNAMO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46316</v>
      </c>
      <c r="F317" t="inlineStr">
        <is>
          <t>JÖNKÖPINGS LÄN</t>
        </is>
      </c>
      <c r="G317" t="inlineStr">
        <is>
          <t>VÄRNAMO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45642</v>
      </c>
      <c r="E318" s="1" t="n">
        <v>46316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40486-2022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44823</v>
      </c>
      <c r="E319" s="1" t="n">
        <v>46316</v>
      </c>
      <c r="F319" t="inlineStr">
        <is>
          <t>JÖNKÖPINGS LÄN</t>
        </is>
      </c>
      <c r="G319" t="inlineStr">
        <is>
          <t>VÄRNAMO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46316</v>
      </c>
      <c r="F320" t="inlineStr">
        <is>
          <t>JÖNKÖPINGS LÄN</t>
        </is>
      </c>
      <c r="G320" t="inlineStr">
        <is>
          <t>VÄRNAMO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48664-2023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46316</v>
      </c>
      <c r="F321" t="inlineStr">
        <is>
          <t>JÖNKÖPINGS LÄN</t>
        </is>
      </c>
      <c r="G321" t="inlineStr">
        <is>
          <t>VÄRNAMO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33315-2025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45841</v>
      </c>
      <c r="E322" s="1" t="n">
        <v>46316</v>
      </c>
      <c r="F322" t="inlineStr">
        <is>
          <t>JÖNKÖPINGS LÄN</t>
        </is>
      </c>
      <c r="G322" t="inlineStr">
        <is>
          <t>VÄRNAMO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46316</v>
      </c>
      <c r="F323" t="inlineStr">
        <is>
          <t>JÖNKÖPINGS LÄN</t>
        </is>
      </c>
      <c r="G323" t="inlineStr">
        <is>
          <t>VÄRNAMO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45936</v>
      </c>
      <c r="E324" s="1" t="n">
        <v>46316</v>
      </c>
      <c r="F324" t="inlineStr">
        <is>
          <t>JÖNKÖPINGS LÄN</t>
        </is>
      </c>
      <c r="G324" t="inlineStr">
        <is>
          <t>VÄRNAMO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45802</v>
      </c>
      <c r="E325" s="1" t="n">
        <v>46316</v>
      </c>
      <c r="F325" t="inlineStr">
        <is>
          <t>JÖNKÖPINGS LÄN</t>
        </is>
      </c>
      <c r="G325" t="inlineStr">
        <is>
          <t>VÄRNAMO</t>
        </is>
      </c>
      <c r="H325" t="inlineStr">
        <is>
          <t>Övriga Aktiebolag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45873</v>
      </c>
      <c r="E326" s="1" t="n">
        <v>46316</v>
      </c>
      <c r="F326" t="inlineStr">
        <is>
          <t>JÖNKÖPINGS LÄN</t>
        </is>
      </c>
      <c r="G326" t="inlineStr">
        <is>
          <t>VÄRNAMO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45873</v>
      </c>
      <c r="E327" s="1" t="n">
        <v>46316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46316</v>
      </c>
      <c r="F328" t="inlineStr">
        <is>
          <t>JÖNKÖPINGS LÄN</t>
        </is>
      </c>
      <c r="G328" t="inlineStr">
        <is>
          <t>VÄRNAMO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45124</v>
      </c>
      <c r="E329" s="1" t="n">
        <v>46316</v>
      </c>
      <c r="F329" t="inlineStr">
        <is>
          <t>JÖNKÖPINGS LÄN</t>
        </is>
      </c>
      <c r="G329" t="inlineStr">
        <is>
          <t>VÄRNAMO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45056</v>
      </c>
      <c r="E330" s="1" t="n">
        <v>46316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45876</v>
      </c>
      <c r="E331" s="1" t="n">
        <v>46316</v>
      </c>
      <c r="F331" t="inlineStr">
        <is>
          <t>JÖNKÖPINGS LÄN</t>
        </is>
      </c>
      <c r="G331" t="inlineStr">
        <is>
          <t>VÄRNAMO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45664</v>
      </c>
      <c r="E332" s="1" t="n">
        <v>46316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45509</v>
      </c>
      <c r="E333" s="1" t="n">
        <v>46316</v>
      </c>
      <c r="F333" t="inlineStr">
        <is>
          <t>JÖNKÖPINGS LÄN</t>
        </is>
      </c>
      <c r="G333" t="inlineStr">
        <is>
          <t>VÄRNAMO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44966</v>
      </c>
      <c r="E334" s="1" t="n">
        <v>46316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45876</v>
      </c>
      <c r="E335" s="1" t="n">
        <v>46316</v>
      </c>
      <c r="F335" t="inlineStr">
        <is>
          <t>JÖNKÖPINGS LÄN</t>
        </is>
      </c>
      <c r="G335" t="inlineStr">
        <is>
          <t>VÄRNAMO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45827</v>
      </c>
      <c r="E336" s="1" t="n">
        <v>46316</v>
      </c>
      <c r="F336" t="inlineStr">
        <is>
          <t>JÖNKÖPINGS LÄN</t>
        </is>
      </c>
      <c r="G336" t="inlineStr">
        <is>
          <t>VÄRNAMO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46316</v>
      </c>
      <c r="F337" t="inlineStr">
        <is>
          <t>JÖNKÖPINGS LÄN</t>
        </is>
      </c>
      <c r="G337" t="inlineStr">
        <is>
          <t>VÄRNAMO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45229</v>
      </c>
      <c r="E338" s="1" t="n">
        <v>46316</v>
      </c>
      <c r="F338" t="inlineStr">
        <is>
          <t>JÖNKÖPINGS LÄN</t>
        </is>
      </c>
      <c r="G338" t="inlineStr">
        <is>
          <t>VÄRNAMO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45149</v>
      </c>
      <c r="E339" s="1" t="n">
        <v>46316</v>
      </c>
      <c r="F339" t="inlineStr">
        <is>
          <t>JÖNKÖPINGS LÄN</t>
        </is>
      </c>
      <c r="G339" t="inlineStr">
        <is>
          <t>VÄRNAMO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45280-2024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45576</v>
      </c>
      <c r="E340" s="1" t="n">
        <v>46316</v>
      </c>
      <c r="F340" t="inlineStr">
        <is>
          <t>JÖNKÖPINGS LÄN</t>
        </is>
      </c>
      <c r="G340" t="inlineStr">
        <is>
          <t>VÄRNAMO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46316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46316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45044</v>
      </c>
      <c r="E343" s="1" t="n">
        <v>46316</v>
      </c>
      <c r="F343" t="inlineStr">
        <is>
          <t>JÖNKÖPINGS LÄN</t>
        </is>
      </c>
      <c r="G343" t="inlineStr">
        <is>
          <t>VÄRNAMO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55749-2023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45239</v>
      </c>
      <c r="E344" s="1" t="n">
        <v>46316</v>
      </c>
      <c r="F344" t="inlineStr">
        <is>
          <t>JÖNKÖPINGS LÄN</t>
        </is>
      </c>
      <c r="G344" t="inlineStr">
        <is>
          <t>VÄRNAMO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46316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45261</v>
      </c>
      <c r="E346" s="1" t="n">
        <v>46316</v>
      </c>
      <c r="F346" t="inlineStr">
        <is>
          <t>JÖNKÖPINGS LÄN</t>
        </is>
      </c>
      <c r="G346" t="inlineStr">
        <is>
          <t>VÄRNAMO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42575-2022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44831</v>
      </c>
      <c r="E347" s="1" t="n">
        <v>46316</v>
      </c>
      <c r="F347" t="inlineStr">
        <is>
          <t>JÖNKÖPINGS LÄN</t>
        </is>
      </c>
      <c r="G347" t="inlineStr">
        <is>
          <t>VÄRNAMO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44993</v>
      </c>
      <c r="E348" s="1" t="n">
        <v>46316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54477-2022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44882</v>
      </c>
      <c r="E349" s="1" t="n">
        <v>46316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45718</v>
      </c>
      <c r="E350" s="1" t="n">
        <v>46316</v>
      </c>
      <c r="F350" t="inlineStr">
        <is>
          <t>JÖNKÖPINGS LÄN</t>
        </is>
      </c>
      <c r="G350" t="inlineStr">
        <is>
          <t>VÄRNAMO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30617-2023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45112</v>
      </c>
      <c r="E351" s="1" t="n">
        <v>46316</v>
      </c>
      <c r="F351" t="inlineStr">
        <is>
          <t>JÖNKÖPINGS LÄN</t>
        </is>
      </c>
      <c r="G351" t="inlineStr">
        <is>
          <t>VÄRNAMO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46316</v>
      </c>
      <c r="F352" t="inlineStr">
        <is>
          <t>JÖNKÖPINGS LÄN</t>
        </is>
      </c>
      <c r="G352" t="inlineStr">
        <is>
          <t>VÄRNAMO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46316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46316</v>
      </c>
      <c r="F354" t="inlineStr">
        <is>
          <t>JÖNKÖPINGS LÄN</t>
        </is>
      </c>
      <c r="G354" t="inlineStr">
        <is>
          <t>VÄRNAMO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45105</v>
      </c>
      <c r="E355" s="1" t="n">
        <v>46316</v>
      </c>
      <c r="F355" t="inlineStr">
        <is>
          <t>JÖNKÖPINGS LÄN</t>
        </is>
      </c>
      <c r="G355" t="inlineStr">
        <is>
          <t>VÄRNAMO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46316</v>
      </c>
      <c r="F356" t="inlineStr">
        <is>
          <t>JÖNKÖPINGS LÄN</t>
        </is>
      </c>
      <c r="G356" t="inlineStr">
        <is>
          <t>VÄRNAMO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45372</v>
      </c>
      <c r="E357" s="1" t="n">
        <v>46316</v>
      </c>
      <c r="F357" t="inlineStr">
        <is>
          <t>JÖNKÖPINGS LÄN</t>
        </is>
      </c>
      <c r="G357" t="inlineStr">
        <is>
          <t>VÄRNAMO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15248-2024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46316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45221</v>
      </c>
      <c r="E359" s="1" t="n">
        <v>46316</v>
      </c>
      <c r="F359" t="inlineStr">
        <is>
          <t>JÖNKÖPINGS LÄN</t>
        </is>
      </c>
      <c r="G359" t="inlineStr">
        <is>
          <t>VÄRNAMO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46316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46316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44970</v>
      </c>
      <c r="E362" s="1" t="n">
        <v>46316</v>
      </c>
      <c r="F362" t="inlineStr">
        <is>
          <t>JÖNKÖPINGS LÄN</t>
        </is>
      </c>
      <c r="G362" t="inlineStr">
        <is>
          <t>VÄRNAMO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46316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45272</v>
      </c>
      <c r="E364" s="1" t="n">
        <v>46316</v>
      </c>
      <c r="F364" t="inlineStr">
        <is>
          <t>JÖNKÖPINGS LÄN</t>
        </is>
      </c>
      <c r="G364" t="inlineStr">
        <is>
          <t>VÄRNAMO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45369</v>
      </c>
      <c r="E365" s="1" t="n">
        <v>46316</v>
      </c>
      <c r="F365" t="inlineStr">
        <is>
          <t>JÖNKÖPINGS LÄN</t>
        </is>
      </c>
      <c r="G365" t="inlineStr">
        <is>
          <t>VÄRNAMO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46316</v>
      </c>
      <c r="F366" t="inlineStr">
        <is>
          <t>JÖNKÖPINGS LÄN</t>
        </is>
      </c>
      <c r="G366" t="inlineStr">
        <is>
          <t>VÄRNAMO</t>
        </is>
      </c>
      <c r="I366" t="n">
        <v>10.4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23951-2026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46316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46316</v>
      </c>
      <c r="F368" t="inlineStr">
        <is>
          <t>JÖNKÖPINGS LÄN</t>
        </is>
      </c>
      <c r="G368" t="inlineStr">
        <is>
          <t>VÄRNAMO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46316</v>
      </c>
      <c r="F369" t="inlineStr">
        <is>
          <t>JÖNKÖPINGS LÄN</t>
        </is>
      </c>
      <c r="G369" t="inlineStr">
        <is>
          <t>VÄRNAMO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46316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46316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45446</v>
      </c>
      <c r="E372" s="1" t="n">
        <v>46316</v>
      </c>
      <c r="F372" t="inlineStr">
        <is>
          <t>JÖNKÖPINGS LÄN</t>
        </is>
      </c>
      <c r="G372" t="inlineStr">
        <is>
          <t>VÄRNAMO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8968-2024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45357</v>
      </c>
      <c r="E373" s="1" t="n">
        <v>46316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45972</v>
      </c>
      <c r="E374" s="1" t="n">
        <v>46316</v>
      </c>
      <c r="F374" t="inlineStr">
        <is>
          <t>JÖNKÖPINGS LÄN</t>
        </is>
      </c>
      <c r="G374" t="inlineStr">
        <is>
          <t>VÄRNAMO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44642</v>
      </c>
      <c r="E375" s="1" t="n">
        <v>46316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46316</v>
      </c>
      <c r="F376" t="inlineStr">
        <is>
          <t>JÖNKÖPINGS LÄN</t>
        </is>
      </c>
      <c r="G376" t="inlineStr">
        <is>
          <t>VÄRNAMO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46172</v>
      </c>
      <c r="E377" s="1" t="n">
        <v>46316</v>
      </c>
      <c r="F377" t="inlineStr">
        <is>
          <t>JÖNKÖPINGS LÄN</t>
        </is>
      </c>
      <c r="G377" t="inlineStr">
        <is>
          <t>VÄRNAMO</t>
        </is>
      </c>
      <c r="I377" t="n">
        <v>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46316</v>
      </c>
      <c r="F378" t="inlineStr">
        <is>
          <t>JÖNKÖPINGS LÄN</t>
        </is>
      </c>
      <c r="G378" t="inlineStr">
        <is>
          <t>VÄRNAMO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45763</v>
      </c>
      <c r="E379" s="1" t="n">
        <v>46316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30712-2024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45496</v>
      </c>
      <c r="E380" s="1" t="n">
        <v>46316</v>
      </c>
      <c r="F380" t="inlineStr">
        <is>
          <t>JÖNKÖPINGS LÄN</t>
        </is>
      </c>
      <c r="G380" t="inlineStr">
        <is>
          <t>VÄRNAMO</t>
        </is>
      </c>
      <c r="H380" t="inlineStr">
        <is>
          <t>Kommuner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46316</v>
      </c>
      <c r="F381" t="inlineStr">
        <is>
          <t>JÖNKÖPINGS LÄN</t>
        </is>
      </c>
      <c r="G381" t="inlineStr">
        <is>
          <t>VÄRNAMO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46316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9992-2023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44985</v>
      </c>
      <c r="E383" s="1" t="n">
        <v>46316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45021</v>
      </c>
      <c r="E384" s="1" t="n">
        <v>46316</v>
      </c>
      <c r="F384" t="inlineStr">
        <is>
          <t>JÖNKÖPINGS LÄN</t>
        </is>
      </c>
      <c r="G384" t="inlineStr">
        <is>
          <t>VÄRNAMO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15536-2024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46316</v>
      </c>
      <c r="F385" t="inlineStr">
        <is>
          <t>JÖNKÖPINGS LÄN</t>
        </is>
      </c>
      <c r="G385" t="inlineStr">
        <is>
          <t>VÄRNAMO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74102-2021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44557</v>
      </c>
      <c r="E386" s="1" t="n">
        <v>46316</v>
      </c>
      <c r="F386" t="inlineStr">
        <is>
          <t>JÖNKÖPINGS LÄN</t>
        </is>
      </c>
      <c r="G386" t="inlineStr">
        <is>
          <t>VÄRNAMO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63915-2023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45278</v>
      </c>
      <c r="E387" s="1" t="n">
        <v>46316</v>
      </c>
      <c r="F387" t="inlineStr">
        <is>
          <t>JÖNKÖPINGS LÄN</t>
        </is>
      </c>
      <c r="G387" t="inlineStr">
        <is>
          <t>VÄRNAMO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46182</v>
      </c>
      <c r="E388" s="1" t="n">
        <v>46316</v>
      </c>
      <c r="F388" t="inlineStr">
        <is>
          <t>JÖNKÖPINGS LÄN</t>
        </is>
      </c>
      <c r="G388" t="inlineStr">
        <is>
          <t>VÄRNAMO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16445-2023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45029</v>
      </c>
      <c r="E389" s="1" t="n">
        <v>46316</v>
      </c>
      <c r="F389" t="inlineStr">
        <is>
          <t>JÖNKÖPINGS LÄN</t>
        </is>
      </c>
      <c r="G389" t="inlineStr">
        <is>
          <t>VÄRNAMO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46316</v>
      </c>
      <c r="F390" t="inlineStr">
        <is>
          <t>JÖNKÖPINGS LÄN</t>
        </is>
      </c>
      <c r="G390" t="inlineStr">
        <is>
          <t>VÄRNAMO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46316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46316</v>
      </c>
      <c r="F392" t="inlineStr">
        <is>
          <t>JÖNKÖPINGS LÄN</t>
        </is>
      </c>
      <c r="G392" t="inlineStr">
        <is>
          <t>VÄRNAMO</t>
        </is>
      </c>
      <c r="H392" t="inlineStr">
        <is>
          <t>Kommuner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71233-2021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46316</v>
      </c>
      <c r="F393" t="inlineStr">
        <is>
          <t>JÖNKÖPINGS LÄN</t>
        </is>
      </c>
      <c r="G393" t="inlineStr">
        <is>
          <t>VÄRNAMO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27153-2026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46188</v>
      </c>
      <c r="E394" s="1" t="n">
        <v>46316</v>
      </c>
      <c r="F394" t="inlineStr">
        <is>
          <t>JÖNKÖPINGS LÄN</t>
        </is>
      </c>
      <c r="G394" t="inlineStr">
        <is>
          <t>VÄRNAMO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46316</v>
      </c>
      <c r="F395" t="inlineStr">
        <is>
          <t>JÖNKÖPINGS LÄN</t>
        </is>
      </c>
      <c r="G395" t="inlineStr">
        <is>
          <t>VÄRNAMO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46316</v>
      </c>
      <c r="F396" t="inlineStr">
        <is>
          <t>JÖNKÖPINGS LÄN</t>
        </is>
      </c>
      <c r="G396" t="inlineStr">
        <is>
          <t>VÄRNAMO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45160</v>
      </c>
      <c r="E397" s="1" t="n">
        <v>46316</v>
      </c>
      <c r="F397" t="inlineStr">
        <is>
          <t>JÖNKÖPINGS LÄN</t>
        </is>
      </c>
      <c r="G397" t="inlineStr">
        <is>
          <t>VÄRNAMO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46316</v>
      </c>
      <c r="F398" t="inlineStr">
        <is>
          <t>JÖNKÖPINGS LÄN</t>
        </is>
      </c>
      <c r="G398" t="inlineStr">
        <is>
          <t>VÄRNAMO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45687</v>
      </c>
      <c r="E399" s="1" t="n">
        <v>46316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44928</v>
      </c>
      <c r="E400" s="1" t="n">
        <v>46316</v>
      </c>
      <c r="F400" t="inlineStr">
        <is>
          <t>JÖNKÖPINGS LÄN</t>
        </is>
      </c>
      <c r="G400" t="inlineStr">
        <is>
          <t>VÄRNAMO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46316</v>
      </c>
      <c r="F401" t="inlineStr">
        <is>
          <t>JÖNKÖPINGS LÄN</t>
        </is>
      </c>
      <c r="G401" t="inlineStr">
        <is>
          <t>VÄRNAMO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27218-2026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46316</v>
      </c>
      <c r="F402" t="inlineStr">
        <is>
          <t>JÖNKÖPINGS LÄN</t>
        </is>
      </c>
      <c r="G402" t="inlineStr">
        <is>
          <t>VÄRNAMO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46316</v>
      </c>
      <c r="F403" t="inlineStr">
        <is>
          <t>JÖNKÖPINGS LÄN</t>
        </is>
      </c>
      <c r="G403" t="inlineStr">
        <is>
          <t>VÄRNAMO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46190</v>
      </c>
      <c r="E404" s="1" t="n">
        <v>46316</v>
      </c>
      <c r="F404" t="inlineStr">
        <is>
          <t>JÖNKÖPINGS LÄN</t>
        </is>
      </c>
      <c r="G404" t="inlineStr">
        <is>
          <t>VÄRNAMO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46316</v>
      </c>
      <c r="F405" t="inlineStr">
        <is>
          <t>JÖNKÖPINGS LÄN</t>
        </is>
      </c>
      <c r="G405" t="inlineStr">
        <is>
          <t>VÄRNAMO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27713-2026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46316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27692-2026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46316</v>
      </c>
      <c r="F407" t="inlineStr">
        <is>
          <t>JÖNKÖPINGS LÄN</t>
        </is>
      </c>
      <c r="G407" t="inlineStr">
        <is>
          <t>VÄRNAMO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40779-2024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45558</v>
      </c>
      <c r="E408" s="1" t="n">
        <v>46316</v>
      </c>
      <c r="F408" t="inlineStr">
        <is>
          <t>JÖNKÖPINGS LÄN</t>
        </is>
      </c>
      <c r="G408" t="inlineStr">
        <is>
          <t>VÄRNAMO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46193</v>
      </c>
      <c r="E409" s="1" t="n">
        <v>46316</v>
      </c>
      <c r="F409" t="inlineStr">
        <is>
          <t>JÖNKÖPINGS LÄN</t>
        </is>
      </c>
      <c r="G409" t="inlineStr">
        <is>
          <t>VÄRNAMO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46316</v>
      </c>
      <c r="F410" t="inlineStr">
        <is>
          <t>JÖNKÖPINGS LÄN</t>
        </is>
      </c>
      <c r="G410" t="inlineStr">
        <is>
          <t>VÄRNAMO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46316</v>
      </c>
      <c r="F411" t="inlineStr">
        <is>
          <t>JÖNKÖPINGS LÄN</t>
        </is>
      </c>
      <c r="G411" t="inlineStr">
        <is>
          <t>VÄRNAMO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27941-2026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46316</v>
      </c>
      <c r="F412" t="inlineStr">
        <is>
          <t>JÖNKÖPINGS LÄN</t>
        </is>
      </c>
      <c r="G412" t="inlineStr">
        <is>
          <t>VÄRNAMO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44970</v>
      </c>
      <c r="E413" s="1" t="n">
        <v>46316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27869-2026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46316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46316</v>
      </c>
      <c r="F415" t="inlineStr">
        <is>
          <t>JÖNKÖPINGS LÄN</t>
        </is>
      </c>
      <c r="G415" t="inlineStr">
        <is>
          <t>VÄRNAMO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45200</v>
      </c>
      <c r="E416" s="1" t="n">
        <v>46316</v>
      </c>
      <c r="F416" t="inlineStr">
        <is>
          <t>JÖNKÖPINGS LÄN</t>
        </is>
      </c>
      <c r="G416" t="inlineStr">
        <is>
          <t>VÄRNAMO</t>
        </is>
      </c>
      <c r="H416" t="inlineStr">
        <is>
          <t>Övriga Aktiebolag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46316</v>
      </c>
      <c r="F417" t="inlineStr">
        <is>
          <t>JÖNKÖPINGS LÄN</t>
        </is>
      </c>
      <c r="G417" t="inlineStr">
        <is>
          <t>VÄRNAMO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46191</v>
      </c>
      <c r="E418" s="1" t="n">
        <v>46316</v>
      </c>
      <c r="F418" t="inlineStr">
        <is>
          <t>JÖNKÖPINGS LÄN</t>
        </is>
      </c>
      <c r="G418" t="inlineStr">
        <is>
          <t>VÄRNAMO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46316</v>
      </c>
      <c r="F419" t="inlineStr">
        <is>
          <t>JÖNKÖPINGS LÄN</t>
        </is>
      </c>
      <c r="G419" t="inlineStr">
        <is>
          <t>VÄRNAMO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46316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46316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44686</v>
      </c>
      <c r="E422" s="1" t="n">
        <v>46316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46316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44942</v>
      </c>
      <c r="E424" s="1" t="n">
        <v>46316</v>
      </c>
      <c r="F424" t="inlineStr">
        <is>
          <t>JÖNKÖPINGS LÄN</t>
        </is>
      </c>
      <c r="G424" t="inlineStr">
        <is>
          <t>VÄRNAMO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46316</v>
      </c>
      <c r="F425" t="inlineStr">
        <is>
          <t>JÖNKÖPINGS LÄN</t>
        </is>
      </c>
      <c r="G425" t="inlineStr">
        <is>
          <t>VÄRNAMO</t>
        </is>
      </c>
      <c r="H425" t="inlineStr">
        <is>
          <t>Sveaskog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28010-2026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46316</v>
      </c>
      <c r="F426" t="inlineStr">
        <is>
          <t>JÖNKÖPINGS LÄN</t>
        </is>
      </c>
      <c r="G426" t="inlineStr">
        <is>
          <t>VÄRNAMO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46316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45414</v>
      </c>
      <c r="E428" s="1" t="n">
        <v>46316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46316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63430-2023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45274</v>
      </c>
      <c r="E430" s="1" t="n">
        <v>46316</v>
      </c>
      <c r="F430" t="inlineStr">
        <is>
          <t>JÖNKÖPINGS LÄN</t>
        </is>
      </c>
      <c r="G430" t="inlineStr">
        <is>
          <t>VÄRNAMO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46316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35120-2022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44797</v>
      </c>
      <c r="E432" s="1" t="n">
        <v>46316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1246-2024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45302</v>
      </c>
      <c r="E433" s="1" t="n">
        <v>46316</v>
      </c>
      <c r="F433" t="inlineStr">
        <is>
          <t>JÖNKÖPINGS LÄN</t>
        </is>
      </c>
      <c r="G433" t="inlineStr">
        <is>
          <t>VÄRNAMO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48040-2024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46316</v>
      </c>
      <c r="F434" t="inlineStr">
        <is>
          <t>JÖNKÖPINGS LÄN</t>
        </is>
      </c>
      <c r="G434" t="inlineStr">
        <is>
          <t>VÄRNAMO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45701</v>
      </c>
      <c r="E435" s="1" t="n">
        <v>46316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45505</v>
      </c>
      <c r="E436" s="1" t="n">
        <v>46316</v>
      </c>
      <c r="F436" t="inlineStr">
        <is>
          <t>JÖNKÖPINGS LÄN</t>
        </is>
      </c>
      <c r="G436" t="inlineStr">
        <is>
          <t>VÄRNAMO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46316</v>
      </c>
      <c r="F437" t="inlineStr">
        <is>
          <t>JÖNKÖPINGS LÄN</t>
        </is>
      </c>
      <c r="G437" t="inlineStr">
        <is>
          <t>VÄRNAMO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46316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47822-2023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46316</v>
      </c>
      <c r="F439" t="inlineStr">
        <is>
          <t>JÖNKÖPINGS LÄN</t>
        </is>
      </c>
      <c r="G439" t="inlineStr">
        <is>
          <t>VÄRNAMO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46316</v>
      </c>
      <c r="F440" t="inlineStr">
        <is>
          <t>JÖNKÖPINGS LÄN</t>
        </is>
      </c>
      <c r="G440" t="inlineStr">
        <is>
          <t>VÄRNAMO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46316</v>
      </c>
      <c r="F441" t="inlineStr">
        <is>
          <t>JÖNKÖPINGS LÄN</t>
        </is>
      </c>
      <c r="G441" t="inlineStr">
        <is>
          <t>VÄRNAMO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46316</v>
      </c>
      <c r="F442" t="inlineStr">
        <is>
          <t>JÖNKÖPINGS LÄN</t>
        </is>
      </c>
      <c r="G442" t="inlineStr">
        <is>
          <t>VÄRNAMO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46316</v>
      </c>
      <c r="F443" t="inlineStr">
        <is>
          <t>JÖNKÖPINGS LÄN</t>
        </is>
      </c>
      <c r="G443" t="inlineStr">
        <is>
          <t>VÄRNAMO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46316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45443</v>
      </c>
      <c r="E445" s="1" t="n">
        <v>46316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46316</v>
      </c>
      <c r="F446" t="inlineStr">
        <is>
          <t>JÖNKÖPINGS LÄN</t>
        </is>
      </c>
      <c r="G446" t="inlineStr">
        <is>
          <t>VÄRNAMO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46316</v>
      </c>
      <c r="F447" t="inlineStr">
        <is>
          <t>JÖNKÖPINGS LÄN</t>
        </is>
      </c>
      <c r="G447" t="inlineStr">
        <is>
          <t>VÄRNAMO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30169-2026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46316</v>
      </c>
      <c r="F448" t="inlineStr">
        <is>
          <t>JÖNKÖPINGS LÄN</t>
        </is>
      </c>
      <c r="G448" t="inlineStr">
        <is>
          <t>VÄRNAMO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31107-2026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46316</v>
      </c>
      <c r="F449" t="inlineStr">
        <is>
          <t>JÖNKÖPINGS LÄN</t>
        </is>
      </c>
      <c r="G449" t="inlineStr">
        <is>
          <t>VÄRNAMO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1158-2024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45302</v>
      </c>
      <c r="E450" s="1" t="n">
        <v>46316</v>
      </c>
      <c r="F450" t="inlineStr">
        <is>
          <t>JÖNKÖPINGS LÄN</t>
        </is>
      </c>
      <c r="G450" t="inlineStr">
        <is>
          <t>VÄRNAMO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44652</v>
      </c>
      <c r="E451" s="1" t="n">
        <v>46316</v>
      </c>
      <c r="F451" t="inlineStr">
        <is>
          <t>JÖNKÖPINGS LÄN</t>
        </is>
      </c>
      <c r="G451" t="inlineStr">
        <is>
          <t>VÄRNAMO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46316</v>
      </c>
      <c r="F452" t="inlineStr">
        <is>
          <t>JÖNKÖPINGS LÄN</t>
        </is>
      </c>
      <c r="G452" t="inlineStr">
        <is>
          <t>VÄRNAMO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46316</v>
      </c>
      <c r="F453" t="inlineStr">
        <is>
          <t>JÖNKÖPINGS LÄN</t>
        </is>
      </c>
      <c r="G453" t="inlineStr">
        <is>
          <t>VÄRNAMO</t>
        </is>
      </c>
      <c r="H453" t="inlineStr">
        <is>
          <t>Kommuner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38484-2023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46316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46316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46316</v>
      </c>
      <c r="F456" t="inlineStr">
        <is>
          <t>JÖNKÖPINGS LÄN</t>
        </is>
      </c>
      <c r="G456" t="inlineStr">
        <is>
          <t>VÄRNAMO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45769</v>
      </c>
      <c r="E457" s="1" t="n">
        <v>46316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46316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46316</v>
      </c>
      <c r="F459" t="inlineStr">
        <is>
          <t>JÖNKÖPINGS LÄN</t>
        </is>
      </c>
      <c r="G459" t="inlineStr">
        <is>
          <t>VÄRNAMO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46316</v>
      </c>
      <c r="F460" t="inlineStr">
        <is>
          <t>JÖNKÖPINGS LÄN</t>
        </is>
      </c>
      <c r="G460" t="inlineStr">
        <is>
          <t>VÄRNAMO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45474</v>
      </c>
      <c r="E461" s="1" t="n">
        <v>46316</v>
      </c>
      <c r="F461" t="inlineStr">
        <is>
          <t>JÖNKÖPINGS LÄN</t>
        </is>
      </c>
      <c r="G461" t="inlineStr">
        <is>
          <t>VÄRNAMO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11723-2023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44994</v>
      </c>
      <c r="E462" s="1" t="n">
        <v>46316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46230</v>
      </c>
      <c r="E463" s="1" t="n">
        <v>46316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46230</v>
      </c>
      <c r="E464" s="1" t="n">
        <v>46316</v>
      </c>
      <c r="F464" t="inlineStr">
        <is>
          <t>JÖNKÖPINGS LÄN</t>
        </is>
      </c>
      <c r="G464" t="inlineStr">
        <is>
          <t>VÄRNAMO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46230</v>
      </c>
      <c r="E465" s="1" t="n">
        <v>46316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37592-2026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46276</v>
      </c>
      <c r="E466" s="1" t="n">
        <v>46316</v>
      </c>
      <c r="F466" t="inlineStr">
        <is>
          <t>JÖNKÖPINGS LÄN</t>
        </is>
      </c>
      <c r="G466" t="inlineStr">
        <is>
          <t>VÄRNAMO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46279</v>
      </c>
      <c r="E467" s="1" t="n">
        <v>46316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45509</v>
      </c>
      <c r="E468" s="1" t="n">
        <v>46316</v>
      </c>
      <c r="F468" t="inlineStr">
        <is>
          <t>JÖNKÖPINGS LÄN</t>
        </is>
      </c>
      <c r="G468" t="inlineStr">
        <is>
          <t>VÄRNAMO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46316</v>
      </c>
      <c r="F469" t="inlineStr">
        <is>
          <t>JÖNKÖPINGS LÄN</t>
        </is>
      </c>
      <c r="G469" t="inlineStr">
        <is>
          <t>VÄRNAMO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46316</v>
      </c>
      <c r="F470" t="inlineStr">
        <is>
          <t>JÖNKÖPINGS LÄN</t>
        </is>
      </c>
      <c r="G470" t="inlineStr">
        <is>
          <t>VÄRNAMO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46316</v>
      </c>
      <c r="F471" t="inlineStr">
        <is>
          <t>JÖNKÖPINGS LÄN</t>
        </is>
      </c>
      <c r="G471" t="inlineStr">
        <is>
          <t>VÄRNAMO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32389-2026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46238</v>
      </c>
      <c r="E472" s="1" t="n">
        <v>46316</v>
      </c>
      <c r="F472" t="inlineStr">
        <is>
          <t>JÖNKÖPINGS LÄN</t>
        </is>
      </c>
      <c r="G472" t="inlineStr">
        <is>
          <t>VÄRNAMO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32413-2026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46238</v>
      </c>
      <c r="E473" s="1" t="n">
        <v>46316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29162-2023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45105</v>
      </c>
      <c r="E474" s="1" t="n">
        <v>46316</v>
      </c>
      <c r="F474" t="inlineStr">
        <is>
          <t>JÖNKÖPINGS LÄN</t>
        </is>
      </c>
      <c r="G474" t="inlineStr">
        <is>
          <t>VÄRNAMO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29168-2023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45105</v>
      </c>
      <c r="E475" s="1" t="n">
        <v>46316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57858-2024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45631</v>
      </c>
      <c r="E476" s="1" t="n">
        <v>46316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14439-2023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45012</v>
      </c>
      <c r="E477" s="1" t="n">
        <v>46316</v>
      </c>
      <c r="F477" t="inlineStr">
        <is>
          <t>JÖNKÖPINGS LÄN</t>
        </is>
      </c>
      <c r="G477" t="inlineStr">
        <is>
          <t>VÄRNAMO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38595-2026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46316</v>
      </c>
      <c r="F478" t="inlineStr">
        <is>
          <t>JÖNKÖPINGS LÄN</t>
        </is>
      </c>
      <c r="G478" t="inlineStr">
        <is>
          <t>VÄRNAMO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55447-2025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46316</v>
      </c>
      <c r="F479" t="inlineStr">
        <is>
          <t>JÖNKÖPINGS LÄN</t>
        </is>
      </c>
      <c r="G479" t="inlineStr">
        <is>
          <t>VÄRNAMO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46287</v>
      </c>
      <c r="E480" s="1" t="n">
        <v>46316</v>
      </c>
      <c r="F480" t="inlineStr">
        <is>
          <t>JÖNKÖPINGS LÄN</t>
        </is>
      </c>
      <c r="G480" t="inlineStr">
        <is>
          <t>VÄRNAMO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45078</v>
      </c>
      <c r="E481" s="1" t="n">
        <v>46316</v>
      </c>
      <c r="F481" t="inlineStr">
        <is>
          <t>JÖNKÖPINGS LÄN</t>
        </is>
      </c>
      <c r="G481" t="inlineStr">
        <is>
          <t>VÄRNAMO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46282</v>
      </c>
      <c r="E482" s="1" t="n">
        <v>46316</v>
      </c>
      <c r="F482" t="inlineStr">
        <is>
          <t>JÖNKÖPINGS LÄN</t>
        </is>
      </c>
      <c r="G482" t="inlineStr">
        <is>
          <t>VÄRNAMO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45357</v>
      </c>
      <c r="E483" s="1" t="n">
        <v>46316</v>
      </c>
      <c r="F483" t="inlineStr">
        <is>
          <t>JÖNKÖPINGS LÄN</t>
        </is>
      </c>
      <c r="G483" t="inlineStr">
        <is>
          <t>VÄRNAMO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45069</v>
      </c>
      <c r="E484" s="1" t="n">
        <v>46316</v>
      </c>
      <c r="F484" t="inlineStr">
        <is>
          <t>JÖNKÖPINGS LÄN</t>
        </is>
      </c>
      <c r="G484" t="inlineStr">
        <is>
          <t>VÄRNAMO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38834-2026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46316</v>
      </c>
      <c r="F485" t="inlineStr">
        <is>
          <t>JÖNKÖPINGS LÄN</t>
        </is>
      </c>
      <c r="G485" t="inlineStr">
        <is>
          <t>VÄRNAMO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45824-2022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44846</v>
      </c>
      <c r="E486" s="1" t="n">
        <v>46316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45517</v>
      </c>
      <c r="E487" s="1" t="n">
        <v>46316</v>
      </c>
      <c r="F487" t="inlineStr">
        <is>
          <t>JÖNKÖPINGS LÄN</t>
        </is>
      </c>
      <c r="G487" t="inlineStr">
        <is>
          <t>VÄRNAMO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9040-2025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46316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46316</v>
      </c>
      <c r="F489" t="inlineStr">
        <is>
          <t>JÖNKÖPINGS LÄN</t>
        </is>
      </c>
      <c r="G489" t="inlineStr">
        <is>
          <t>VÄRNAMO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68171-2021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44526</v>
      </c>
      <c r="E490" s="1" t="n">
        <v>46316</v>
      </c>
      <c r="F490" t="inlineStr">
        <is>
          <t>JÖNKÖPINGS LÄN</t>
        </is>
      </c>
      <c r="G490" t="inlineStr">
        <is>
          <t>VÄRNAMO</t>
        </is>
      </c>
      <c r="H490" t="inlineStr">
        <is>
          <t>Kommuner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11210-2024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45371</v>
      </c>
      <c r="E491" s="1" t="n">
        <v>46316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39354-2026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46288</v>
      </c>
      <c r="E492" s="1" t="n">
        <v>46316</v>
      </c>
      <c r="F492" t="inlineStr">
        <is>
          <t>JÖNKÖPINGS LÄN</t>
        </is>
      </c>
      <c r="G492" t="inlineStr">
        <is>
          <t>VÄRNAMO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46288</v>
      </c>
      <c r="E493" s="1" t="n">
        <v>46316</v>
      </c>
      <c r="F493" t="inlineStr">
        <is>
          <t>JÖNKÖPINGS LÄN</t>
        </is>
      </c>
      <c r="G493" t="inlineStr">
        <is>
          <t>VÄRNAMO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39374-2026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46288</v>
      </c>
      <c r="E494" s="1" t="n">
        <v>46316</v>
      </c>
      <c r="F494" t="inlineStr">
        <is>
          <t>JÖNKÖPINGS LÄN</t>
        </is>
      </c>
      <c r="G494" t="inlineStr">
        <is>
          <t>VÄRNAMO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46316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55373-2023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46316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46316</v>
      </c>
      <c r="F497" t="inlineStr">
        <is>
          <t>JÖNKÖPINGS LÄN</t>
        </is>
      </c>
      <c r="G497" t="inlineStr">
        <is>
          <t>VÄRNAMO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46288</v>
      </c>
      <c r="E498" s="1" t="n">
        <v>46316</v>
      </c>
      <c r="F498" t="inlineStr">
        <is>
          <t>JÖNKÖPINGS LÄN</t>
        </is>
      </c>
      <c r="G498" t="inlineStr">
        <is>
          <t>VÄRNAMO</t>
        </is>
      </c>
      <c r="H498" t="inlineStr">
        <is>
          <t>Kommuner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45160</v>
      </c>
      <c r="E499" s="1" t="n">
        <v>46316</v>
      </c>
      <c r="F499" t="inlineStr">
        <is>
          <t>JÖNKÖPINGS LÄN</t>
        </is>
      </c>
      <c r="G499" t="inlineStr">
        <is>
          <t>VÄRNAMO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40852-2022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44825</v>
      </c>
      <c r="E500" s="1" t="n">
        <v>46316</v>
      </c>
      <c r="F500" t="inlineStr">
        <is>
          <t>JÖNKÖPINGS LÄN</t>
        </is>
      </c>
      <c r="G500" t="inlineStr">
        <is>
          <t>VÄRNAMO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45219</v>
      </c>
      <c r="E501" s="1" t="n">
        <v>46316</v>
      </c>
      <c r="F501" t="inlineStr">
        <is>
          <t>JÖNKÖPINGS LÄN</t>
        </is>
      </c>
      <c r="G501" t="inlineStr">
        <is>
          <t>VÄRNAMO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53533-2023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45223</v>
      </c>
      <c r="E502" s="1" t="n">
        <v>46316</v>
      </c>
      <c r="F502" t="inlineStr">
        <is>
          <t>JÖNKÖPINGS LÄN</t>
        </is>
      </c>
      <c r="G502" t="inlineStr">
        <is>
          <t>VÄRNAMO</t>
        </is>
      </c>
      <c r="H502" t="inlineStr">
        <is>
          <t>Kyrkan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45713</v>
      </c>
      <c r="E503" s="1" t="n">
        <v>46316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45224</v>
      </c>
      <c r="E504" s="1" t="n">
        <v>46316</v>
      </c>
      <c r="F504" t="inlineStr">
        <is>
          <t>JÖNKÖPINGS LÄN</t>
        </is>
      </c>
      <c r="G504" t="inlineStr">
        <is>
          <t>VÄRNAMO</t>
        </is>
      </c>
      <c r="H504" t="inlineStr">
        <is>
          <t>Övriga Aktiebolag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46007</v>
      </c>
      <c r="E505" s="1" t="n">
        <v>46316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46316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46316</v>
      </c>
      <c r="F507" t="inlineStr">
        <is>
          <t>JÖNKÖPINGS LÄN</t>
        </is>
      </c>
      <c r="G507" t="inlineStr">
        <is>
          <t>VÄRNAMO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46316</v>
      </c>
      <c r="F508" t="inlineStr">
        <is>
          <t>JÖNKÖPINGS LÄN</t>
        </is>
      </c>
      <c r="G508" t="inlineStr">
        <is>
          <t>VÄRNAMO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46316</v>
      </c>
      <c r="F509" t="inlineStr">
        <is>
          <t>JÖNKÖPINGS LÄN</t>
        </is>
      </c>
      <c r="G509" t="inlineStr">
        <is>
          <t>VÄRNAMO</t>
        </is>
      </c>
      <c r="I509" t="n">
        <v>11.7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61503-2021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44501</v>
      </c>
      <c r="E510" s="1" t="n">
        <v>46316</v>
      </c>
      <c r="F510" t="inlineStr">
        <is>
          <t>JÖNKÖPINGS LÄN</t>
        </is>
      </c>
      <c r="G510" t="inlineStr">
        <is>
          <t>VÄRNAMO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46316</v>
      </c>
      <c r="F511" t="inlineStr">
        <is>
          <t>JÖNKÖPINGS LÄN</t>
        </is>
      </c>
      <c r="G511" t="inlineStr">
        <is>
          <t>VÄRNAMO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46316</v>
      </c>
      <c r="F512" t="inlineStr">
        <is>
          <t>JÖNKÖPINGS LÄN</t>
        </is>
      </c>
      <c r="G512" t="inlineStr">
        <is>
          <t>VÄRNAMO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45674</v>
      </c>
      <c r="E513" s="1" t="n">
        <v>46316</v>
      </c>
      <c r="F513" t="inlineStr">
        <is>
          <t>JÖNKÖPINGS LÄN</t>
        </is>
      </c>
      <c r="G513" t="inlineStr">
        <is>
          <t>VÄRNAMO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33729-2026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46316</v>
      </c>
      <c r="F514" t="inlineStr">
        <is>
          <t>JÖNKÖPINGS LÄN</t>
        </is>
      </c>
      <c r="G514" t="inlineStr">
        <is>
          <t>VÄRNAMO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46316</v>
      </c>
      <c r="F515" t="inlineStr">
        <is>
          <t>JÖNKÖPINGS LÄN</t>
        </is>
      </c>
      <c r="G515" t="inlineStr">
        <is>
          <t>VÄRNAMO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46294</v>
      </c>
      <c r="E516" s="1" t="n">
        <v>46316</v>
      </c>
      <c r="F516" t="inlineStr">
        <is>
          <t>JÖNKÖPINGS LÄN</t>
        </is>
      </c>
      <c r="G516" t="inlineStr">
        <is>
          <t>VÄRNAMO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45563</v>
      </c>
      <c r="E517" s="1" t="n">
        <v>46316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3866-2022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44587</v>
      </c>
      <c r="E518" s="1" t="n">
        <v>46316</v>
      </c>
      <c r="F518" t="inlineStr">
        <is>
          <t>JÖNKÖPINGS LÄN</t>
        </is>
      </c>
      <c r="G518" t="inlineStr">
        <is>
          <t>VÄRNAMO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56402-2023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46316</v>
      </c>
      <c r="F519" t="inlineStr">
        <is>
          <t>JÖNKÖPINGS LÄN</t>
        </is>
      </c>
      <c r="G519" t="inlineStr">
        <is>
          <t>VÄRNAMO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46316</v>
      </c>
      <c r="F520" t="inlineStr">
        <is>
          <t>JÖNKÖPINGS LÄN</t>
        </is>
      </c>
      <c r="G520" t="inlineStr">
        <is>
          <t>VÄRNAMO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45174</v>
      </c>
      <c r="E521" s="1" t="n">
        <v>46316</v>
      </c>
      <c r="F521" t="inlineStr">
        <is>
          <t>JÖNKÖPINGS LÄN</t>
        </is>
      </c>
      <c r="G521" t="inlineStr">
        <is>
          <t>VÄRNAMO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40283-2026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46294</v>
      </c>
      <c r="E522" s="1" t="n">
        <v>46316</v>
      </c>
      <c r="F522" t="inlineStr">
        <is>
          <t>JÖNKÖPINGS LÄN</t>
        </is>
      </c>
      <c r="G522" t="inlineStr">
        <is>
          <t>VÄRNAMO</t>
        </is>
      </c>
      <c r="H522" t="inlineStr">
        <is>
          <t>Kommuner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74310-2021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46316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46316</v>
      </c>
      <c r="F524" t="inlineStr">
        <is>
          <t>JÖNKÖPINGS LÄN</t>
        </is>
      </c>
      <c r="G524" t="inlineStr">
        <is>
          <t>VÄRNAMO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40270-2026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46294</v>
      </c>
      <c r="E525" s="1" t="n">
        <v>46316</v>
      </c>
      <c r="F525" t="inlineStr">
        <is>
          <t>JÖNKÖPINGS LÄN</t>
        </is>
      </c>
      <c r="G525" t="inlineStr">
        <is>
          <t>VÄRNAMO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46316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46316</v>
      </c>
      <c r="F527" t="inlineStr">
        <is>
          <t>JÖNKÖPINGS LÄN</t>
        </is>
      </c>
      <c r="G527" t="inlineStr">
        <is>
          <t>VÄRNAMO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46297</v>
      </c>
      <c r="E528" s="1" t="n">
        <v>46316</v>
      </c>
      <c r="F528" t="inlineStr">
        <is>
          <t>JÖNKÖPINGS LÄN</t>
        </is>
      </c>
      <c r="G528" t="inlineStr">
        <is>
          <t>VÄRNAMO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45200</v>
      </c>
      <c r="E529" s="1" t="n">
        <v>46316</v>
      </c>
      <c r="F529" t="inlineStr">
        <is>
          <t>JÖNKÖPINGS LÄN</t>
        </is>
      </c>
      <c r="G529" t="inlineStr">
        <is>
          <t>VÄRNAMO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40843-2026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46296</v>
      </c>
      <c r="E530" s="1" t="n">
        <v>46316</v>
      </c>
      <c r="F530" t="inlineStr">
        <is>
          <t>JÖNKÖPINGS LÄN</t>
        </is>
      </c>
      <c r="G530" t="inlineStr">
        <is>
          <t>VÄRNAMO</t>
        </is>
      </c>
      <c r="H530" t="inlineStr">
        <is>
          <t>Kommuner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46316</v>
      </c>
      <c r="F531" t="inlineStr">
        <is>
          <t>JÖNKÖPINGS LÄN</t>
        </is>
      </c>
      <c r="G531" t="inlineStr">
        <is>
          <t>VÄRNAMO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46316</v>
      </c>
      <c r="F532" t="inlineStr">
        <is>
          <t>JÖNKÖPINGS LÄN</t>
        </is>
      </c>
      <c r="G532" t="inlineStr">
        <is>
          <t>VÄRNAMO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39965-2022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44820</v>
      </c>
      <c r="E533" s="1" t="n">
        <v>46316</v>
      </c>
      <c r="F533" t="inlineStr">
        <is>
          <t>JÖNKÖPINGS LÄN</t>
        </is>
      </c>
      <c r="G533" t="inlineStr">
        <is>
          <t>VÄRNAMO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46316</v>
      </c>
      <c r="F534" t="inlineStr">
        <is>
          <t>JÖNKÖPINGS LÄN</t>
        </is>
      </c>
      <c r="G534" t="inlineStr">
        <is>
          <t>VÄRNAMO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46316</v>
      </c>
      <c r="F535" t="inlineStr">
        <is>
          <t>JÖNKÖPINGS LÄN</t>
        </is>
      </c>
      <c r="G535" t="inlineStr">
        <is>
          <t>VÄRNAMO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45170</v>
      </c>
      <c r="E536" s="1" t="n">
        <v>46316</v>
      </c>
      <c r="F536" t="inlineStr">
        <is>
          <t>JÖNKÖPINGS LÄN</t>
        </is>
      </c>
      <c r="G536" t="inlineStr">
        <is>
          <t>VÄRNAMO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46316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26986-2023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46316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46316</v>
      </c>
      <c r="F539" t="inlineStr">
        <is>
          <t>JÖNKÖPINGS LÄN</t>
        </is>
      </c>
      <c r="G539" t="inlineStr">
        <is>
          <t>VÄRNAMO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61108-2024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46316</v>
      </c>
      <c r="F540" t="inlineStr">
        <is>
          <t>JÖNKÖPINGS LÄN</t>
        </is>
      </c>
      <c r="G540" t="inlineStr">
        <is>
          <t>VÄRNAMO</t>
        </is>
      </c>
      <c r="I540" t="n">
        <v>13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45160-2025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45919</v>
      </c>
      <c r="E541" s="1" t="n">
        <v>46316</v>
      </c>
      <c r="F541" t="inlineStr">
        <is>
          <t>JÖNKÖPINGS LÄN</t>
        </is>
      </c>
      <c r="G541" t="inlineStr">
        <is>
          <t>VÄRNAMO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16164-2024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45406</v>
      </c>
      <c r="E542" s="1" t="n">
        <v>46316</v>
      </c>
      <c r="F542" t="inlineStr">
        <is>
          <t>JÖNKÖPINGS LÄN</t>
        </is>
      </c>
      <c r="G542" t="inlineStr">
        <is>
          <t>VÄRNAMO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63656-2023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45275</v>
      </c>
      <c r="E543" s="1" t="n">
        <v>46316</v>
      </c>
      <c r="F543" t="inlineStr">
        <is>
          <t>JÖNKÖPINGS LÄN</t>
        </is>
      </c>
      <c r="G543" t="inlineStr">
        <is>
          <t>VÄRNAMO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46316</v>
      </c>
      <c r="F544" t="inlineStr">
        <is>
          <t>JÖNKÖPINGS LÄN</t>
        </is>
      </c>
      <c r="G544" t="inlineStr">
        <is>
          <t>VÄRNAMO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46316</v>
      </c>
      <c r="F545" t="inlineStr">
        <is>
          <t>JÖNKÖPINGS LÄN</t>
        </is>
      </c>
      <c r="G545" t="inlineStr">
        <is>
          <t>VÄRNAMO</t>
        </is>
      </c>
      <c r="H545" t="inlineStr">
        <is>
          <t>Sveaskog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25102-2022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44729</v>
      </c>
      <c r="E546" s="1" t="n">
        <v>46316</v>
      </c>
      <c r="F546" t="inlineStr">
        <is>
          <t>JÖNKÖPINGS LÄN</t>
        </is>
      </c>
      <c r="G546" t="inlineStr">
        <is>
          <t>VÄRNAMO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44949</v>
      </c>
      <c r="E547" s="1" t="n">
        <v>46316</v>
      </c>
      <c r="F547" t="inlineStr">
        <is>
          <t>JÖNKÖPINGS LÄN</t>
        </is>
      </c>
      <c r="G547" t="inlineStr">
        <is>
          <t>VÄRNAMO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45270</v>
      </c>
      <c r="E548" s="1" t="n">
        <v>46316</v>
      </c>
      <c r="F548" t="inlineStr">
        <is>
          <t>JÖNKÖPINGS LÄN</t>
        </is>
      </c>
      <c r="G548" t="inlineStr">
        <is>
          <t>VÄRNAMO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56272-2022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44890</v>
      </c>
      <c r="E549" s="1" t="n">
        <v>46316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42307-2026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46307</v>
      </c>
      <c r="E550" s="1" t="n">
        <v>46316</v>
      </c>
      <c r="F550" t="inlineStr">
        <is>
          <t>JÖNKÖPINGS LÄN</t>
        </is>
      </c>
      <c r="G550" t="inlineStr">
        <is>
          <t>VÄRNAMO</t>
        </is>
      </c>
      <c r="H550" t="inlineStr">
        <is>
          <t>Övriga Aktiebolag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29166-2023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45105</v>
      </c>
      <c r="E551" s="1" t="n">
        <v>46316</v>
      </c>
      <c r="F551" t="inlineStr">
        <is>
          <t>JÖNKÖPINGS LÄN</t>
        </is>
      </c>
      <c r="G551" t="inlineStr">
        <is>
          <t>VÄRNAMO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2501-2025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45674</v>
      </c>
      <c r="E552" s="1" t="n">
        <v>46316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35720-2026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46316</v>
      </c>
      <c r="F553" t="inlineStr">
        <is>
          <t>JÖNKÖPINGS LÄN</t>
        </is>
      </c>
      <c r="G553" t="inlineStr">
        <is>
          <t>VÄRNAMO</t>
        </is>
      </c>
      <c r="H553" t="inlineStr">
        <is>
          <t>Kommuner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45009</v>
      </c>
      <c r="E554" s="1" t="n">
        <v>46316</v>
      </c>
      <c r="F554" t="inlineStr">
        <is>
          <t>JÖNKÖPINGS LÄN</t>
        </is>
      </c>
      <c r="G554" t="inlineStr">
        <is>
          <t>VÄRNAMO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46316</v>
      </c>
      <c r="F555" t="inlineStr">
        <is>
          <t>JÖNKÖPINGS LÄN</t>
        </is>
      </c>
      <c r="G555" t="inlineStr">
        <is>
          <t>VÄRNAMO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45554</v>
      </c>
      <c r="E556" s="1" t="n">
        <v>46316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46265</v>
      </c>
      <c r="E557" s="1" t="n">
        <v>46316</v>
      </c>
      <c r="F557" t="inlineStr">
        <is>
          <t>JÖNKÖPINGS LÄN</t>
        </is>
      </c>
      <c r="G557" t="inlineStr">
        <is>
          <t>VÄRNAMO</t>
        </is>
      </c>
      <c r="H557" t="inlineStr">
        <is>
          <t>Kommuner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10540-2025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45721</v>
      </c>
      <c r="E558" s="1" t="n">
        <v>46316</v>
      </c>
      <c r="F558" t="inlineStr">
        <is>
          <t>JÖNKÖPINGS LÄN</t>
        </is>
      </c>
      <c r="G558" t="inlineStr">
        <is>
          <t>VÄRNAMO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44230-2023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46316</v>
      </c>
      <c r="F559" t="inlineStr">
        <is>
          <t>JÖNKÖPINGS LÄN</t>
        </is>
      </c>
      <c r="G559" t="inlineStr">
        <is>
          <t>VÄRNAMO</t>
        </is>
      </c>
      <c r="I559" t="n">
        <v>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45547</v>
      </c>
      <c r="E560" s="1" t="n">
        <v>46316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42318-2026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46307</v>
      </c>
      <c r="E561" s="1" t="n">
        <v>46316</v>
      </c>
      <c r="F561" t="inlineStr">
        <is>
          <t>JÖNKÖPINGS LÄN</t>
        </is>
      </c>
      <c r="G561" t="inlineStr">
        <is>
          <t>VÄRNAMO</t>
        </is>
      </c>
      <c r="H561" t="inlineStr">
        <is>
          <t>Övriga Aktiebolag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45245</v>
      </c>
      <c r="E562" s="1" t="n">
        <v>46316</v>
      </c>
      <c r="F562" t="inlineStr">
        <is>
          <t>JÖNKÖPINGS LÄN</t>
        </is>
      </c>
      <c r="G562" t="inlineStr">
        <is>
          <t>VÄRNAMO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42282-2026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46316</v>
      </c>
      <c r="F563" t="inlineStr">
        <is>
          <t>JÖNKÖPINGS LÄN</t>
        </is>
      </c>
      <c r="G563" t="inlineStr">
        <is>
          <t>VÄRNAMO</t>
        </is>
      </c>
      <c r="H563" t="inlineStr">
        <is>
          <t>Övriga Aktiebolag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46316</v>
      </c>
      <c r="F564" t="inlineStr">
        <is>
          <t>JÖNKÖPINGS LÄN</t>
        </is>
      </c>
      <c r="G564" t="inlineStr">
        <is>
          <t>VÄRNAMO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46304</v>
      </c>
      <c r="E565" s="1" t="n">
        <v>46316</v>
      </c>
      <c r="F565" t="inlineStr">
        <is>
          <t>JÖNKÖPINGS LÄN</t>
        </is>
      </c>
      <c r="G565" t="inlineStr">
        <is>
          <t>VÄRNAMO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46304</v>
      </c>
      <c r="E566" s="1" t="n">
        <v>46316</v>
      </c>
      <c r="F566" t="inlineStr">
        <is>
          <t>JÖNKÖPINGS LÄN</t>
        </is>
      </c>
      <c r="G566" t="inlineStr">
        <is>
          <t>VÄRNAMO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56415-2023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45243</v>
      </c>
      <c r="E567" s="1" t="n">
        <v>46316</v>
      </c>
      <c r="F567" t="inlineStr">
        <is>
          <t>JÖNKÖPINGS LÄN</t>
        </is>
      </c>
      <c r="G567" t="inlineStr">
        <is>
          <t>VÄRNAMO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42603-2026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46308</v>
      </c>
      <c r="E568" s="1" t="n">
        <v>46316</v>
      </c>
      <c r="F568" t="inlineStr">
        <is>
          <t>JÖNKÖPINGS LÄN</t>
        </is>
      </c>
      <c r="G568" t="inlineStr">
        <is>
          <t>VÄRNAMO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39089-2026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46283</v>
      </c>
      <c r="E569" s="1" t="n">
        <v>46316</v>
      </c>
      <c r="F569" t="inlineStr">
        <is>
          <t>JÖNKÖPINGS LÄN</t>
        </is>
      </c>
      <c r="G569" t="inlineStr">
        <is>
          <t>VÄRNAMO</t>
        </is>
      </c>
      <c r="H569" t="inlineStr">
        <is>
          <t>Kyrkan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45558</v>
      </c>
      <c r="E570" s="1" t="n">
        <v>46316</v>
      </c>
      <c r="F570" t="inlineStr">
        <is>
          <t>JÖNKÖPINGS LÄN</t>
        </is>
      </c>
      <c r="G570" t="inlineStr">
        <is>
          <t>VÄRNAMO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74026-2021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44553</v>
      </c>
      <c r="E571" s="1" t="n">
        <v>46316</v>
      </c>
      <c r="F571" t="inlineStr">
        <is>
          <t>JÖNKÖPINGS LÄN</t>
        </is>
      </c>
      <c r="G571" t="inlineStr">
        <is>
          <t>VÄRNAMO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74027-2021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44553</v>
      </c>
      <c r="E572" s="1" t="n">
        <v>46316</v>
      </c>
      <c r="F572" t="inlineStr">
        <is>
          <t>JÖNKÖPINGS LÄN</t>
        </is>
      </c>
      <c r="G572" t="inlineStr">
        <is>
          <t>VÄRNAMO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6980-2025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45701</v>
      </c>
      <c r="E573" s="1" t="n">
        <v>46316</v>
      </c>
      <c r="F573" t="inlineStr">
        <is>
          <t>JÖNKÖPINGS LÄN</t>
        </is>
      </c>
      <c r="G573" t="inlineStr">
        <is>
          <t>VÄRNAMO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42738-2026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46308</v>
      </c>
      <c r="E574" s="1" t="n">
        <v>46316</v>
      </c>
      <c r="F574" t="inlineStr">
        <is>
          <t>JÖNKÖPINGS LÄN</t>
        </is>
      </c>
      <c r="G574" t="inlineStr">
        <is>
          <t>VÄRNAMO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42796-2026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46309</v>
      </c>
      <c r="E575" s="1" t="n">
        <v>46316</v>
      </c>
      <c r="F575" t="inlineStr">
        <is>
          <t>JÖNKÖPINGS LÄN</t>
        </is>
      </c>
      <c r="G575" t="inlineStr">
        <is>
          <t>VÄRNAMO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45393</v>
      </c>
      <c r="E576" s="1" t="n">
        <v>46316</v>
      </c>
      <c r="F576" t="inlineStr">
        <is>
          <t>JÖNKÖPINGS LÄN</t>
        </is>
      </c>
      <c r="G576" t="inlineStr">
        <is>
          <t>VÄRNAMO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46316</v>
      </c>
      <c r="F577" t="inlineStr">
        <is>
          <t>JÖNKÖPINGS LÄN</t>
        </is>
      </c>
      <c r="G577" t="inlineStr">
        <is>
          <t>VÄRNAMO</t>
        </is>
      </c>
      <c r="H577" t="inlineStr">
        <is>
          <t>Kommuner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42590-2026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46308</v>
      </c>
      <c r="E578" s="1" t="n">
        <v>46316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41316-2023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45173</v>
      </c>
      <c r="E579" s="1" t="n">
        <v>46316</v>
      </c>
      <c r="F579" t="inlineStr">
        <is>
          <t>JÖNKÖPINGS LÄN</t>
        </is>
      </c>
      <c r="G579" t="inlineStr">
        <is>
          <t>VÄRNAMO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42601-2026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46308</v>
      </c>
      <c r="E580" s="1" t="n">
        <v>46316</v>
      </c>
      <c r="F580" t="inlineStr">
        <is>
          <t>JÖNKÖPINGS LÄN</t>
        </is>
      </c>
      <c r="G580" t="inlineStr">
        <is>
          <t>VÄRNAMO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6914-2024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46316</v>
      </c>
      <c r="F581" t="inlineStr">
        <is>
          <t>JÖNKÖPINGS LÄN</t>
        </is>
      </c>
      <c r="G581" t="inlineStr">
        <is>
          <t>VÄRNAMO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46316</v>
      </c>
      <c r="F582" t="inlineStr">
        <is>
          <t>JÖNKÖPINGS LÄN</t>
        </is>
      </c>
      <c r="G582" t="inlineStr">
        <is>
          <t>VÄRNAMO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46316</v>
      </c>
      <c r="F583" t="inlineStr">
        <is>
          <t>JÖNKÖPINGS LÄN</t>
        </is>
      </c>
      <c r="G583" t="inlineStr">
        <is>
          <t>VÄRNAMO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46269</v>
      </c>
      <c r="E584" s="1" t="n">
        <v>46316</v>
      </c>
      <c r="F584" t="inlineStr">
        <is>
          <t>JÖNKÖPINGS LÄN</t>
        </is>
      </c>
      <c r="G584" t="inlineStr">
        <is>
          <t>VÄRNAMO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42984-2026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46310</v>
      </c>
      <c r="E585" s="1" t="n">
        <v>46316</v>
      </c>
      <c r="F585" t="inlineStr">
        <is>
          <t>JÖNKÖPINGS LÄN</t>
        </is>
      </c>
      <c r="G585" t="inlineStr">
        <is>
          <t>VÄRNAMO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39656-2023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45167</v>
      </c>
      <c r="E586" s="1" t="n">
        <v>46316</v>
      </c>
      <c r="F586" t="inlineStr">
        <is>
          <t>JÖNKÖPINGS LÄN</t>
        </is>
      </c>
      <c r="G586" t="inlineStr">
        <is>
          <t>VÄRNAMO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42830-2024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45566</v>
      </c>
      <c r="E587" s="1" t="n">
        <v>46316</v>
      </c>
      <c r="F587" t="inlineStr">
        <is>
          <t>JÖNKÖPINGS LÄN</t>
        </is>
      </c>
      <c r="G587" t="inlineStr">
        <is>
          <t>VÄRNAMO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36729-2022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44805</v>
      </c>
      <c r="E588" s="1" t="n">
        <v>46316</v>
      </c>
      <c r="F588" t="inlineStr">
        <is>
          <t>JÖNKÖPINGS LÄN</t>
        </is>
      </c>
      <c r="G588" t="inlineStr">
        <is>
          <t>VÄRNAMO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36259-2026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46268</v>
      </c>
      <c r="E589" s="1" t="n">
        <v>46316</v>
      </c>
      <c r="F589" t="inlineStr">
        <is>
          <t>JÖNKÖPINGS LÄN</t>
        </is>
      </c>
      <c r="G589" t="inlineStr">
        <is>
          <t>VÄRNAMO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36118-2026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46267</v>
      </c>
      <c r="E590" s="1" t="n">
        <v>46316</v>
      </c>
      <c r="F590" t="inlineStr">
        <is>
          <t>JÖNKÖPINGS LÄN</t>
        </is>
      </c>
      <c r="G590" t="inlineStr">
        <is>
          <t>VÄRNAMO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44698</v>
      </c>
      <c r="E591" s="1" t="n">
        <v>46316</v>
      </c>
      <c r="F591" t="inlineStr">
        <is>
          <t>JÖNKÖPINGS LÄN</t>
        </is>
      </c>
      <c r="G591" t="inlineStr">
        <is>
          <t>VÄRNAMO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44936</v>
      </c>
      <c r="E592" s="1" t="n">
        <v>46316</v>
      </c>
      <c r="F592" t="inlineStr">
        <is>
          <t>JÖNKÖPINGS LÄN</t>
        </is>
      </c>
      <c r="G592" t="inlineStr">
        <is>
          <t>VÄRNAMO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45044</v>
      </c>
      <c r="E593" s="1" t="n">
        <v>46316</v>
      </c>
      <c r="F593" t="inlineStr">
        <is>
          <t>JÖNKÖPINGS LÄN</t>
        </is>
      </c>
      <c r="G593" t="inlineStr">
        <is>
          <t>VÄRNAMO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64002-2023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45278</v>
      </c>
      <c r="E594" s="1" t="n">
        <v>46316</v>
      </c>
      <c r="F594" t="inlineStr">
        <is>
          <t>JÖNKÖPINGS LÄN</t>
        </is>
      </c>
      <c r="G594" t="inlineStr">
        <is>
          <t>VÄRNAMO</t>
        </is>
      </c>
      <c r="I594" t="n">
        <v>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51754-2024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46316</v>
      </c>
      <c r="F595" t="inlineStr">
        <is>
          <t>JÖNKÖPINGS LÄN</t>
        </is>
      </c>
      <c r="G595" t="inlineStr">
        <is>
          <t>VÄRNAMO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64048-2023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45279</v>
      </c>
      <c r="E596" s="1" t="n">
        <v>46316</v>
      </c>
      <c r="F596" t="inlineStr">
        <is>
          <t>JÖNKÖPINGS LÄN</t>
        </is>
      </c>
      <c r="G596" t="inlineStr">
        <is>
          <t>VÄRNAMO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20481-2022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44699</v>
      </c>
      <c r="E597" s="1" t="n">
        <v>46316</v>
      </c>
      <c r="F597" t="inlineStr">
        <is>
          <t>JÖNKÖPINGS LÄN</t>
        </is>
      </c>
      <c r="G597" t="inlineStr">
        <is>
          <t>VÄRNAMO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46468-2023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45197</v>
      </c>
      <c r="E598" s="1" t="n">
        <v>46316</v>
      </c>
      <c r="F598" t="inlineStr">
        <is>
          <t>JÖNKÖPINGS LÄN</t>
        </is>
      </c>
      <c r="G598" t="inlineStr">
        <is>
          <t>VÄRNAMO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46471-2023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45197</v>
      </c>
      <c r="E599" s="1" t="n">
        <v>46316</v>
      </c>
      <c r="F599" t="inlineStr">
        <is>
          <t>JÖNKÖPINGS LÄN</t>
        </is>
      </c>
      <c r="G599" t="inlineStr">
        <is>
          <t>VÄRNAMO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35359-2023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45146</v>
      </c>
      <c r="E600" s="1" t="n">
        <v>46316</v>
      </c>
      <c r="F600" t="inlineStr">
        <is>
          <t>JÖNKÖPINGS LÄN</t>
        </is>
      </c>
      <c r="G600" t="inlineStr">
        <is>
          <t>VÄRNAMO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45271</v>
      </c>
      <c r="E601" s="1" t="n">
        <v>46316</v>
      </c>
      <c r="F601" t="inlineStr">
        <is>
          <t>JÖNKÖPINGS LÄN</t>
        </is>
      </c>
      <c r="G601" t="inlineStr">
        <is>
          <t>VÄRNAMO</t>
        </is>
      </c>
      <c r="H601" t="inlineStr">
        <is>
          <t>Kommuner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45265</v>
      </c>
      <c r="E602" s="1" t="n">
        <v>46316</v>
      </c>
      <c r="F602" t="inlineStr">
        <is>
          <t>JÖNKÖPINGS LÄN</t>
        </is>
      </c>
      <c r="G602" t="inlineStr">
        <is>
          <t>VÄRNAMO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44998</v>
      </c>
      <c r="E603" s="1" t="n">
        <v>46316</v>
      </c>
      <c r="F603" t="inlineStr">
        <is>
          <t>JÖNKÖPINGS LÄN</t>
        </is>
      </c>
      <c r="G603" t="inlineStr">
        <is>
          <t>VÄRNAMO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44998</v>
      </c>
      <c r="E604" s="1" t="n">
        <v>46316</v>
      </c>
      <c r="F604" t="inlineStr">
        <is>
          <t>JÖNKÖPINGS LÄN</t>
        </is>
      </c>
      <c r="G604" t="inlineStr">
        <is>
          <t>VÄRNAMO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17464-2023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45036</v>
      </c>
      <c r="E605" s="1" t="n">
        <v>46316</v>
      </c>
      <c r="F605" t="inlineStr">
        <is>
          <t>JÖNKÖPINGS LÄN</t>
        </is>
      </c>
      <c r="G605" t="inlineStr">
        <is>
          <t>VÄRNAMO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45037</v>
      </c>
      <c r="E606" s="1" t="n">
        <v>46316</v>
      </c>
      <c r="F606" t="inlineStr">
        <is>
          <t>JÖNKÖPINGS LÄN</t>
        </is>
      </c>
      <c r="G606" t="inlineStr">
        <is>
          <t>VÄRNAMO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46316</v>
      </c>
      <c r="F607" t="inlineStr">
        <is>
          <t>JÖNKÖPINGS LÄN</t>
        </is>
      </c>
      <c r="G607" t="inlineStr">
        <is>
          <t>VÄRNAMO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46316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45468</v>
      </c>
      <c r="E609" s="1" t="n">
        <v>46316</v>
      </c>
      <c r="F609" t="inlineStr">
        <is>
          <t>JÖNKÖPINGS LÄN</t>
        </is>
      </c>
      <c r="G609" t="inlineStr">
        <is>
          <t>VÄRNAMO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19090-2024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45428</v>
      </c>
      <c r="E610" s="1" t="n">
        <v>46316</v>
      </c>
      <c r="F610" t="inlineStr">
        <is>
          <t>JÖNKÖPINGS LÄN</t>
        </is>
      </c>
      <c r="G610" t="inlineStr">
        <is>
          <t>VÄRNAMO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38662-2024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46316</v>
      </c>
      <c r="F611" t="inlineStr">
        <is>
          <t>JÖNKÖPINGS LÄN</t>
        </is>
      </c>
      <c r="G611" t="inlineStr">
        <is>
          <t>VÄRNAMO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45243</v>
      </c>
      <c r="E612" s="1" t="n">
        <v>46316</v>
      </c>
      <c r="F612" t="inlineStr">
        <is>
          <t>JÖNKÖPINGS LÄN</t>
        </is>
      </c>
      <c r="G612" t="inlineStr">
        <is>
          <t>VÄRNAMO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22220-2024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45445</v>
      </c>
      <c r="E613" s="1" t="n">
        <v>46316</v>
      </c>
      <c r="F613" t="inlineStr">
        <is>
          <t>JÖNKÖPINGS LÄN</t>
        </is>
      </c>
      <c r="G613" t="inlineStr">
        <is>
          <t>VÄRNAMO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46316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46316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46316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46316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46316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46316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46316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46316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46316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46316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46316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46316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46316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46316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46316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46316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46316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46316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46316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2026-10-21T02:05:14Z</dcterms:created>
  <dcterms:modified xmlns:dcterms="http://purl.org/dc/terms/" xmlns:xsi="http://www.w3.org/2001/XMLSchema-instance" xsi:type="dcterms:W3CDTF">2026-10-21T02:05:14Z</dcterms:modified>
</cp:coreProperties>
</file>