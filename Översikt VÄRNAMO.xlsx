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46273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46273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46273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46273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46273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46273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46273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46273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46273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46273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46273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46273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46273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46273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46273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46273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46273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46273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23920-2026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46273</v>
      </c>
      <c r="F25" t="inlineStr">
        <is>
          <t>JÖNKÖPINGS LÄN</t>
        </is>
      </c>
      <c r="G25" t="inlineStr">
        <is>
          <t>VÄRNAMO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Brandticka</t>
        </is>
      </c>
      <c r="W25">
        <f>HYPERLINK("https://klasma.github.io/Logging_0683/artfynd/A 23920-2026 artfynd.xlsx", "A 23920-2026")</f>
        <v/>
      </c>
      <c r="X25">
        <f>HYPERLINK("https://klasma.github.io/Logging_0683/kartor/A 23920-2026 karta.png", "A 23920-2026")</f>
        <v/>
      </c>
      <c r="Y25">
        <f>HYPERLINK("https://klasma.github.io/Logging_0683/kartor_geotiff/A 23920-2026 georefererad karta.tif", "A 23920-2026")</f>
        <v/>
      </c>
      <c r="AA25">
        <f>HYPERLINK("https://klasma.github.io/Logging_0683/klagomål/A 23920-2026 FSC-klagomål.docx", "A 23920-2026")</f>
        <v/>
      </c>
      <c r="AB25">
        <f>HYPERLINK("https://klasma.github.io/Logging_0683/klagomålsmail/A 23920-2026 FSC-klagomål mail.docx", "A 23920-2026")</f>
        <v/>
      </c>
      <c r="AC25">
        <f>HYPERLINK("https://klasma.github.io/Logging_0683/tillsyn/A 23920-2026 tillsynsbegäran.docx", "A 23920-2026")</f>
        <v/>
      </c>
      <c r="AD25">
        <f>HYPERLINK("https://klasma.github.io/Logging_0683/tillsynsmail/A 23920-2026 tillsynsbegäran mail.docx", "A 23920-2026")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46273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Buskskvätta</t>
        </is>
      </c>
      <c r="W26">
        <f>HYPERLINK("https://klasma.github.io/Logging_0683/artfynd/A 17221-2025 artfynd.xlsx", "A 17221-2025")</f>
        <v/>
      </c>
      <c r="X26">
        <f>HYPERLINK("https://klasma.github.io/Logging_0683/kartor/A 17221-2025 karta.png", "A 17221-2025")</f>
        <v/>
      </c>
      <c r="Y26">
        <f>HYPERLINK("https://klasma.github.io/Logging_0683/kartor_geotiff/A 17221-2025 georefererad karta.tif", "A 17221-2025")</f>
        <v/>
      </c>
      <c r="AA26">
        <f>HYPERLINK("https://klasma.github.io/Logging_0683/klagomål/A 17221-2025 FSC-klagomål.docx", "A 17221-2025")</f>
        <v/>
      </c>
      <c r="AB26">
        <f>HYPERLINK("https://klasma.github.io/Logging_0683/klagomålsmail/A 17221-2025 FSC-klagomål mail.docx", "A 17221-2025")</f>
        <v/>
      </c>
      <c r="AC26">
        <f>HYPERLINK("https://klasma.github.io/Logging_0683/tillsyn/A 17221-2025 tillsynsbegäran.docx", "A 17221-2025")</f>
        <v/>
      </c>
      <c r="AD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46273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46273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46273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46273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46273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46273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61264-2023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46273</v>
      </c>
      <c r="F33" t="inlineStr">
        <is>
          <t>JÖNKÖPINGS LÄN</t>
        </is>
      </c>
      <c r="G33" t="inlineStr">
        <is>
          <t>VÄRNAMO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Gullpudra</t>
        </is>
      </c>
      <c r="W33">
        <f>HYPERLINK("https://klasma.github.io/Logging_0683/artfynd/A 61264-2023 artfynd.xlsx", "A 61264-2023")</f>
        <v/>
      </c>
      <c r="X33">
        <f>HYPERLINK("https://klasma.github.io/Logging_0683/kartor/A 61264-2023 karta.png", "A 61264-2023")</f>
        <v/>
      </c>
      <c r="Y33">
        <f>HYPERLINK("https://klasma.github.io/Logging_0683/kartor_geotiff/A 61264-2023 georefererad karta.tif", "A 61264-2023")</f>
        <v/>
      </c>
      <c r="AA33">
        <f>HYPERLINK("https://klasma.github.io/Logging_0683/klagomål/A 61264-2023 FSC-klagomål.docx", "A 61264-2023")</f>
        <v/>
      </c>
      <c r="AB33">
        <f>HYPERLINK("https://klasma.github.io/Logging_0683/klagomålsmail/A 61264-2023 FSC-klagomål mail.docx", "A 61264-2023")</f>
        <v/>
      </c>
      <c r="AC33">
        <f>HYPERLINK("https://klasma.github.io/Logging_0683/tillsyn/A 61264-2023 tillsynsbegäran.docx", "A 61264-2023")</f>
        <v/>
      </c>
      <c r="AD33">
        <f>HYPERLINK("https://klasma.github.io/Logging_0683/tillsynsmail/A 61264-2023 tillsynsbegäran mail.docx", "A 61264-2023")</f>
        <v/>
      </c>
    </row>
    <row r="34" ht="15" customHeight="1">
      <c r="A34" t="inlineStr">
        <is>
          <t>A 48887-2023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45209</v>
      </c>
      <c r="E34" s="1" t="n">
        <v>46273</v>
      </c>
      <c r="F34" t="inlineStr">
        <is>
          <t>JÖNKÖPINGS LÄN</t>
        </is>
      </c>
      <c r="G34" t="inlineStr">
        <is>
          <t>VÄRNAMO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HYPERLINK("https://klasma.github.io/Logging_0683/artfynd/A 48887-2023 artfynd.xlsx", "A 48887-2023")</f>
        <v/>
      </c>
      <c r="X34">
        <f>HYPERLINK("https://klasma.github.io/Logging_0683/kartor/A 48887-2023 karta.png", "A 48887-2023")</f>
        <v/>
      </c>
      <c r="Y34">
        <f>HYPERLINK("https://klasma.github.io/Logging_0683/kartor_geotiff/A 48887-2023 georefererad karta.tif", "A 48887-2023")</f>
        <v/>
      </c>
      <c r="AA34">
        <f>HYPERLINK("https://klasma.github.io/Logging_0683/klagomål/A 48887-2023 FSC-klagomål.docx", "A 48887-2023")</f>
        <v/>
      </c>
      <c r="AB34">
        <f>HYPERLINK("https://klasma.github.io/Logging_0683/klagomålsmail/A 48887-2023 FSC-klagomål mail.docx", "A 48887-2023")</f>
        <v/>
      </c>
      <c r="AC34">
        <f>HYPERLINK("https://klasma.github.io/Logging_0683/tillsyn/A 48887-2023 tillsynsbegäran.docx", "A 48887-2023")</f>
        <v/>
      </c>
      <c r="AD34">
        <f>HYPERLINK("https://klasma.github.io/Logging_0683/tillsynsmail/A 48887-2023 tillsynsbegäran mail.docx", "A 48887-2023")</f>
        <v/>
      </c>
    </row>
    <row r="35" ht="15" customHeight="1">
      <c r="A35" t="inlineStr">
        <is>
          <t>A 5761-2024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46273</v>
      </c>
      <c r="F35" t="inlineStr">
        <is>
          <t>JÖNKÖPINGS LÄN</t>
        </is>
      </c>
      <c r="G35" t="inlineStr">
        <is>
          <t>VÄRNAMO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HYPERLINK("https://klasma.github.io/Logging_0683/artfynd/A 5761-2024 artfynd.xlsx", "A 5761-2024")</f>
        <v/>
      </c>
      <c r="X35">
        <f>HYPERLINK("https://klasma.github.io/Logging_0683/kartor/A 5761-2024 karta.png", "A 5761-2024")</f>
        <v/>
      </c>
      <c r="Y35">
        <f>HYPERLINK("https://klasma.github.io/Logging_0683/kartor_geotiff/A 5761-2024 georefererad karta.tif", "A 5761-2024")</f>
        <v/>
      </c>
      <c r="AA35">
        <f>HYPERLINK("https://klasma.github.io/Logging_0683/klagomål/A 5761-2024 FSC-klagomål.docx", "A 5761-2024")</f>
        <v/>
      </c>
      <c r="AB35">
        <f>HYPERLINK("https://klasma.github.io/Logging_0683/klagomålsmail/A 5761-2024 FSC-klagomål mail.docx", "A 5761-2024")</f>
        <v/>
      </c>
      <c r="AC35">
        <f>HYPERLINK("https://klasma.github.io/Logging_0683/tillsyn/A 5761-2024 tillsynsbegäran.docx", "A 5761-2024")</f>
        <v/>
      </c>
      <c r="AD35">
        <f>HYPERLINK("https://klasma.github.io/Logging_0683/tillsynsmail/A 5761-2024 tillsynsbegäran mail.docx", "A 5761-2024")</f>
        <v/>
      </c>
    </row>
    <row r="36" ht="15" customHeight="1">
      <c r="A36" t="inlineStr">
        <is>
          <t>A 36222-2026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46273</v>
      </c>
      <c r="F36" t="inlineStr">
        <is>
          <t>JÖNKÖPINGS LÄN</t>
        </is>
      </c>
      <c r="G36" t="inlineStr">
        <is>
          <t>VÄRNAMO</t>
        </is>
      </c>
      <c r="I36" t="n">
        <v>4.2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Borsttåg</t>
        </is>
      </c>
      <c r="W36">
        <f>HYPERLINK("https://klasma.github.io/Logging_0683/artfynd/A 36222-2026 artfynd.xlsx", "A 36222-2026")</f>
        <v/>
      </c>
      <c r="X36">
        <f>HYPERLINK("https://klasma.github.io/Logging_0683/kartor/A 36222-2026 karta.png", "A 36222-2026")</f>
        <v/>
      </c>
      <c r="Y36">
        <f>HYPERLINK("https://klasma.github.io/Logging_0683/kartor_geotiff/A 36222-2026 georefererad karta.tif", "A 36222-2026")</f>
        <v/>
      </c>
      <c r="AA36">
        <f>HYPERLINK("https://klasma.github.io/Logging_0683/klagomål/A 36222-2026 FSC-klagomål.docx", "A 36222-2026")</f>
        <v/>
      </c>
      <c r="AB36">
        <f>HYPERLINK("https://klasma.github.io/Logging_0683/klagomålsmail/A 36222-2026 FSC-klagomål mail.docx", "A 36222-2026")</f>
        <v/>
      </c>
      <c r="AC36">
        <f>HYPERLINK("https://klasma.github.io/Logging_0683/tillsyn/A 36222-2026 tillsynsbegäran.docx", "A 36222-2026")</f>
        <v/>
      </c>
      <c r="AD36">
        <f>HYPERLINK("https://klasma.github.io/Logging_0683/tillsynsmail/A 36222-2026 tillsynsbegäran mail.docx", "A 36222-2026")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46273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46273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A 33366-2025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46273</v>
      </c>
      <c r="F39" t="inlineStr">
        <is>
          <t>JÖNKÖPINGS LÄN</t>
        </is>
      </c>
      <c r="G39" t="inlineStr">
        <is>
          <t>VÄRNAMO</t>
        </is>
      </c>
      <c r="I39" t="n">
        <v>5.7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Strandlummer</t>
        </is>
      </c>
      <c r="W39">
        <f>HYPERLINK("https://klasma.github.io/Logging_0683/artfynd/A 33366-2025 artfynd.xlsx", "A 33366-2025")</f>
        <v/>
      </c>
      <c r="X39">
        <f>HYPERLINK("https://klasma.github.io/Logging_0683/kartor/A 33366-2025 karta.png", "A 33366-2025")</f>
        <v/>
      </c>
      <c r="Y39">
        <f>HYPERLINK("https://klasma.github.io/Logging_0683/kartor_geotiff/A 33366-2025 georefererad karta.tif", "A 33366-2025")</f>
        <v/>
      </c>
      <c r="AA39">
        <f>HYPERLINK("https://klasma.github.io/Logging_0683/klagomål/A 33366-2025 FSC-klagomål.docx", "A 33366-2025")</f>
        <v/>
      </c>
      <c r="AB39">
        <f>HYPERLINK("https://klasma.github.io/Logging_0683/klagomålsmail/A 33366-2025 FSC-klagomål mail.docx", "A 33366-2025")</f>
        <v/>
      </c>
      <c r="AC39">
        <f>HYPERLINK("https://klasma.github.io/Logging_0683/tillsyn/A 33366-2025 tillsynsbegäran.docx", "A 33366-2025")</f>
        <v/>
      </c>
      <c r="AD39">
        <f>HYPERLINK("https://klasma.github.io/Logging_0683/tillsynsmail/A 33366-2025 tillsynsbegäran mail.docx", "A 33366-2025")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46273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46273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46273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46273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46273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46273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46273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46273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46273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46273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46273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46273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46273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46273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46273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46273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46273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46273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46273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46273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46273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46273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46273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46273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46273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46273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46273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46273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46273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46273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46273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46273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46273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46273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46273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46273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46273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71848-2021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44539</v>
      </c>
      <c r="E78" s="1" t="n">
        <v>46273</v>
      </c>
      <c r="F78" t="inlineStr">
        <is>
          <t>JÖNKÖPINGS LÄN</t>
        </is>
      </c>
      <c r="G78" t="inlineStr">
        <is>
          <t>VÄRNAMO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46273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46273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46273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46273</v>
      </c>
      <c r="F82" t="inlineStr">
        <is>
          <t>JÖNKÖPINGS LÄN</t>
        </is>
      </c>
      <c r="G82" t="inlineStr">
        <is>
          <t>VÄRNAMO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46273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46273</v>
      </c>
      <c r="F84" t="inlineStr">
        <is>
          <t>JÖNKÖPINGS LÄN</t>
        </is>
      </c>
      <c r="G84" t="inlineStr">
        <is>
          <t>VÄRNAMO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74127-2021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44557</v>
      </c>
      <c r="E85" s="1" t="n">
        <v>46273</v>
      </c>
      <c r="F85" t="inlineStr">
        <is>
          <t>JÖNKÖPINGS LÄN</t>
        </is>
      </c>
      <c r="G85" t="inlineStr">
        <is>
          <t>VÄRNAMO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48131-2021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44449</v>
      </c>
      <c r="E86" s="1" t="n">
        <v>46273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46273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46273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44757</v>
      </c>
      <c r="E89" s="1" t="n">
        <v>46273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46273</v>
      </c>
      <c r="F90" t="inlineStr">
        <is>
          <t>JÖNKÖPINGS LÄN</t>
        </is>
      </c>
      <c r="G90" t="inlineStr">
        <is>
          <t>VÄRNAMO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46273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46273</v>
      </c>
      <c r="F92" t="inlineStr">
        <is>
          <t>JÖNKÖPINGS LÄN</t>
        </is>
      </c>
      <c r="G92" t="inlineStr">
        <is>
          <t>VÄRNAMO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61912-2021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46273</v>
      </c>
      <c r="F93" t="inlineStr">
        <is>
          <t>JÖNKÖPINGS LÄN</t>
        </is>
      </c>
      <c r="G93" t="inlineStr">
        <is>
          <t>VÄRNAMO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46273</v>
      </c>
      <c r="F94" t="inlineStr">
        <is>
          <t>JÖNKÖPINGS LÄN</t>
        </is>
      </c>
      <c r="G94" t="inlineStr">
        <is>
          <t>VÄRNAMO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46273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46273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46273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44662</v>
      </c>
      <c r="E98" s="1" t="n">
        <v>46273</v>
      </c>
      <c r="F98" t="inlineStr">
        <is>
          <t>JÖNKÖPINGS LÄN</t>
        </is>
      </c>
      <c r="G98" t="inlineStr">
        <is>
          <t>VÄRNAMO</t>
        </is>
      </c>
      <c r="I98" t="n">
        <v>9.199999999999999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46273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46273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46273</v>
      </c>
      <c r="F101" t="inlineStr">
        <is>
          <t>JÖNKÖPINGS LÄN</t>
        </is>
      </c>
      <c r="G101" t="inlineStr">
        <is>
          <t>VÄRNAMO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40486-2022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44823</v>
      </c>
      <c r="E102" s="1" t="n">
        <v>46273</v>
      </c>
      <c r="F102" t="inlineStr">
        <is>
          <t>JÖNKÖPINGS LÄN</t>
        </is>
      </c>
      <c r="G102" t="inlineStr">
        <is>
          <t>VÄRNAMO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45221</v>
      </c>
      <c r="E103" s="1" t="n">
        <v>46273</v>
      </c>
      <c r="F103" t="inlineStr">
        <is>
          <t>JÖNKÖPINGS LÄN</t>
        </is>
      </c>
      <c r="G103" t="inlineStr">
        <is>
          <t>VÄRNAMO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46273</v>
      </c>
      <c r="F104" t="inlineStr">
        <is>
          <t>JÖNKÖPINGS LÄN</t>
        </is>
      </c>
      <c r="G104" t="inlineStr">
        <is>
          <t>VÄRNAMO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45324</v>
      </c>
      <c r="E105" s="1" t="n">
        <v>46273</v>
      </c>
      <c r="F105" t="inlineStr">
        <is>
          <t>JÖNKÖPINGS LÄN</t>
        </is>
      </c>
      <c r="G105" t="inlineStr">
        <is>
          <t>VÄRNAMO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46273</v>
      </c>
      <c r="F106" t="inlineStr">
        <is>
          <t>JÖNKÖPINGS LÄN</t>
        </is>
      </c>
      <c r="G106" t="inlineStr">
        <is>
          <t>VÄRNAMO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46273</v>
      </c>
      <c r="F107" t="inlineStr">
        <is>
          <t>JÖNKÖPINGS LÄN</t>
        </is>
      </c>
      <c r="G107" t="inlineStr">
        <is>
          <t>VÄRNAMO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15536-2024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45401</v>
      </c>
      <c r="E108" s="1" t="n">
        <v>46273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46273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46273</v>
      </c>
      <c r="F110" t="inlineStr">
        <is>
          <t>JÖNKÖPINGS LÄN</t>
        </is>
      </c>
      <c r="G110" t="inlineStr">
        <is>
          <t>VÄRNAMO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46273</v>
      </c>
      <c r="F111" t="inlineStr">
        <is>
          <t>JÖNKÖPINGS LÄN</t>
        </is>
      </c>
      <c r="G111" t="inlineStr">
        <is>
          <t>VÄRNAMO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46273</v>
      </c>
      <c r="F112" t="inlineStr">
        <is>
          <t>JÖNKÖPINGS LÄN</t>
        </is>
      </c>
      <c r="G112" t="inlineStr">
        <is>
          <t>VÄRNAMO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9977-2024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45363</v>
      </c>
      <c r="E113" s="1" t="n">
        <v>46273</v>
      </c>
      <c r="F113" t="inlineStr">
        <is>
          <t>JÖNKÖPINGS LÄN</t>
        </is>
      </c>
      <c r="G113" t="inlineStr">
        <is>
          <t>VÄRNAMO</t>
        </is>
      </c>
      <c r="H113" t="inlineStr">
        <is>
          <t>Kyrkan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46273</v>
      </c>
      <c r="F114" t="inlineStr">
        <is>
          <t>JÖNKÖPINGS LÄN</t>
        </is>
      </c>
      <c r="G114" t="inlineStr">
        <is>
          <t>VÄRNAMO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46273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46273</v>
      </c>
      <c r="F116" t="inlineStr">
        <is>
          <t>JÖNKÖPINGS LÄN</t>
        </is>
      </c>
      <c r="G116" t="inlineStr">
        <is>
          <t>VÄRNAMO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44853</v>
      </c>
      <c r="E117" s="1" t="n">
        <v>46273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46273</v>
      </c>
      <c r="F118" t="inlineStr">
        <is>
          <t>JÖNKÖPINGS LÄN</t>
        </is>
      </c>
      <c r="G118" t="inlineStr">
        <is>
          <t>VÄRNAMO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46273</v>
      </c>
      <c r="F119" t="inlineStr">
        <is>
          <t>JÖNKÖPINGS LÄN</t>
        </is>
      </c>
      <c r="G119" t="inlineStr">
        <is>
          <t>VÄRNAMO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46273</v>
      </c>
      <c r="F120" t="inlineStr">
        <is>
          <t>JÖNKÖPINGS LÄN</t>
        </is>
      </c>
      <c r="G120" t="inlineStr">
        <is>
          <t>VÄRNAMO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46273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46273</v>
      </c>
      <c r="F122" t="inlineStr">
        <is>
          <t>JÖNKÖPINGS LÄN</t>
        </is>
      </c>
      <c r="G122" t="inlineStr">
        <is>
          <t>VÄRNAMO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46273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46273</v>
      </c>
      <c r="F124" t="inlineStr">
        <is>
          <t>JÖNKÖPINGS LÄN</t>
        </is>
      </c>
      <c r="G124" t="inlineStr">
        <is>
          <t>VÄRNAMO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46273</v>
      </c>
      <c r="F125" t="inlineStr">
        <is>
          <t>JÖNKÖPINGS LÄN</t>
        </is>
      </c>
      <c r="G125" t="inlineStr">
        <is>
          <t>VÄRNAMO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46273</v>
      </c>
      <c r="F126" t="inlineStr">
        <is>
          <t>JÖNKÖPINGS LÄN</t>
        </is>
      </c>
      <c r="G126" t="inlineStr">
        <is>
          <t>VÄRNAMO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45271</v>
      </c>
      <c r="E127" s="1" t="n">
        <v>46273</v>
      </c>
      <c r="F127" t="inlineStr">
        <is>
          <t>JÖNKÖPINGS LÄN</t>
        </is>
      </c>
      <c r="G127" t="inlineStr">
        <is>
          <t>VÄRNAMO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44966</v>
      </c>
      <c r="E128" s="1" t="n">
        <v>46273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46273</v>
      </c>
      <c r="F129" t="inlineStr">
        <is>
          <t>JÖNKÖPINGS LÄN</t>
        </is>
      </c>
      <c r="G129" t="inlineStr">
        <is>
          <t>VÄRNAMO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46273</v>
      </c>
      <c r="F130" t="inlineStr">
        <is>
          <t>JÖNKÖPINGS LÄN</t>
        </is>
      </c>
      <c r="G130" t="inlineStr">
        <is>
          <t>VÄRNAMO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46273</v>
      </c>
      <c r="F131" t="inlineStr">
        <is>
          <t>JÖNKÖPINGS LÄN</t>
        </is>
      </c>
      <c r="G131" t="inlineStr">
        <is>
          <t>VÄRNAMO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46273</v>
      </c>
      <c r="F132" t="inlineStr">
        <is>
          <t>JÖNKÖPINGS LÄN</t>
        </is>
      </c>
      <c r="G132" t="inlineStr">
        <is>
          <t>VÄRNAMO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46273</v>
      </c>
      <c r="F133" t="inlineStr">
        <is>
          <t>JÖNKÖPINGS LÄN</t>
        </is>
      </c>
      <c r="G133" t="inlineStr">
        <is>
          <t>VÄRNAMO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45475</v>
      </c>
      <c r="E134" s="1" t="n">
        <v>46273</v>
      </c>
      <c r="F134" t="inlineStr">
        <is>
          <t>JÖNKÖPINGS LÄN</t>
        </is>
      </c>
      <c r="G134" t="inlineStr">
        <is>
          <t>VÄRNAMO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45531</v>
      </c>
      <c r="E135" s="1" t="n">
        <v>46273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42242-2024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46273</v>
      </c>
      <c r="F136" t="inlineStr">
        <is>
          <t>JÖNKÖPINGS LÄN</t>
        </is>
      </c>
      <c r="G136" t="inlineStr">
        <is>
          <t>VÄRNAMO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46273</v>
      </c>
      <c r="F137" t="inlineStr">
        <is>
          <t>JÖNKÖPINGS LÄN</t>
        </is>
      </c>
      <c r="G137" t="inlineStr">
        <is>
          <t>VÄRNAMO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46273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46273</v>
      </c>
      <c r="F139" t="inlineStr">
        <is>
          <t>JÖNKÖPINGS LÄN</t>
        </is>
      </c>
      <c r="G139" t="inlineStr">
        <is>
          <t>VÄRNAMO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8968-2024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45357</v>
      </c>
      <c r="E140" s="1" t="n">
        <v>46273</v>
      </c>
      <c r="F140" t="inlineStr">
        <is>
          <t>JÖNKÖPINGS LÄN</t>
        </is>
      </c>
      <c r="G140" t="inlineStr">
        <is>
          <t>VÄRNAMO</t>
        </is>
      </c>
      <c r="H140" t="inlineStr">
        <is>
          <t>Sveaskog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46273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46273</v>
      </c>
      <c r="F142" t="inlineStr">
        <is>
          <t>JÖNKÖPINGS LÄN</t>
        </is>
      </c>
      <c r="G142" t="inlineStr">
        <is>
          <t>VÄRNAMO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45203</v>
      </c>
      <c r="E143" s="1" t="n">
        <v>46273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74102-2021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44557</v>
      </c>
      <c r="E144" s="1" t="n">
        <v>46273</v>
      </c>
      <c r="F144" t="inlineStr">
        <is>
          <t>JÖNKÖPINGS LÄN</t>
        </is>
      </c>
      <c r="G144" t="inlineStr">
        <is>
          <t>VÄRNAMO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46273</v>
      </c>
      <c r="F145" t="inlineStr">
        <is>
          <t>JÖNKÖPINGS LÄN</t>
        </is>
      </c>
      <c r="G145" t="inlineStr">
        <is>
          <t>VÄRNAMO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46273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74026-2021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44553</v>
      </c>
      <c r="E147" s="1" t="n">
        <v>46273</v>
      </c>
      <c r="F147" t="inlineStr">
        <is>
          <t>JÖNKÖPINGS LÄN</t>
        </is>
      </c>
      <c r="G147" t="inlineStr">
        <is>
          <t>VÄRNAMO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44553</v>
      </c>
      <c r="E148" s="1" t="n">
        <v>46273</v>
      </c>
      <c r="F148" t="inlineStr">
        <is>
          <t>JÖNKÖPINGS LÄN</t>
        </is>
      </c>
      <c r="G148" t="inlineStr">
        <is>
          <t>VÄRNAMO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44595</v>
      </c>
      <c r="E149" s="1" t="n">
        <v>46273</v>
      </c>
      <c r="F149" t="inlineStr">
        <is>
          <t>JÖNKÖPINGS LÄN</t>
        </is>
      </c>
      <c r="G149" t="inlineStr">
        <is>
          <t>VÄRNAMO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46273</v>
      </c>
      <c r="F150" t="inlineStr">
        <is>
          <t>JÖNKÖPINGS LÄN</t>
        </is>
      </c>
      <c r="G150" t="inlineStr">
        <is>
          <t>VÄRNAMO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45217</v>
      </c>
      <c r="E151" s="1" t="n">
        <v>46273</v>
      </c>
      <c r="F151" t="inlineStr">
        <is>
          <t>JÖNKÖPINGS LÄN</t>
        </is>
      </c>
      <c r="G151" t="inlineStr">
        <is>
          <t>VÄRNAMO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12304-2023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44998</v>
      </c>
      <c r="E152" s="1" t="n">
        <v>46273</v>
      </c>
      <c r="F152" t="inlineStr">
        <is>
          <t>JÖNKÖPINGS LÄN</t>
        </is>
      </c>
      <c r="G152" t="inlineStr">
        <is>
          <t>VÄRNAMO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44998</v>
      </c>
      <c r="E153" s="1" t="n">
        <v>46273</v>
      </c>
      <c r="F153" t="inlineStr">
        <is>
          <t>JÖNKÖPINGS LÄN</t>
        </is>
      </c>
      <c r="G153" t="inlineStr">
        <is>
          <t>VÄRNAMO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44890</v>
      </c>
      <c r="E154" s="1" t="n">
        <v>46273</v>
      </c>
      <c r="F154" t="inlineStr">
        <is>
          <t>JÖNKÖPINGS LÄN</t>
        </is>
      </c>
      <c r="G154" t="inlineStr">
        <is>
          <t>VÄRNAMO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45567</v>
      </c>
      <c r="E155" s="1" t="n">
        <v>46273</v>
      </c>
      <c r="F155" t="inlineStr">
        <is>
          <t>JÖNKÖPINGS LÄN</t>
        </is>
      </c>
      <c r="G155" t="inlineStr">
        <is>
          <t>VÄRNAMO</t>
        </is>
      </c>
      <c r="H155" t="inlineStr">
        <is>
          <t>Kommuner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46273</v>
      </c>
      <c r="F156" t="inlineStr">
        <is>
          <t>JÖNKÖPINGS LÄN</t>
        </is>
      </c>
      <c r="G156" t="inlineStr">
        <is>
          <t>VÄRNAMO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46273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46273</v>
      </c>
      <c r="F158" t="inlineStr">
        <is>
          <t>JÖNKÖPINGS LÄN</t>
        </is>
      </c>
      <c r="G158" t="inlineStr">
        <is>
          <t>VÄRNAMO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46273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46273</v>
      </c>
      <c r="F160" t="inlineStr">
        <is>
          <t>JÖNKÖPINGS LÄN</t>
        </is>
      </c>
      <c r="G160" t="inlineStr">
        <is>
          <t>VÄRNAMO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46273</v>
      </c>
      <c r="F161" t="inlineStr">
        <is>
          <t>JÖNKÖPINGS LÄN</t>
        </is>
      </c>
      <c r="G161" t="inlineStr">
        <is>
          <t>VÄRNAMO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46273</v>
      </c>
      <c r="F162" t="inlineStr">
        <is>
          <t>JÖNKÖPINGS LÄN</t>
        </is>
      </c>
      <c r="G162" t="inlineStr">
        <is>
          <t>VÄRNAMO</t>
        </is>
      </c>
      <c r="H162" t="inlineStr">
        <is>
          <t>Kommuner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54254-2021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46273</v>
      </c>
      <c r="F163" t="inlineStr">
        <is>
          <t>JÖNKÖPINGS LÄN</t>
        </is>
      </c>
      <c r="G163" t="inlineStr">
        <is>
          <t>VÄRNAMO</t>
        </is>
      </c>
      <c r="H163" t="inlineStr">
        <is>
          <t>Övriga Aktiebolag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46273</v>
      </c>
      <c r="F164" t="inlineStr">
        <is>
          <t>JÖNKÖPINGS LÄN</t>
        </is>
      </c>
      <c r="G164" t="inlineStr">
        <is>
          <t>VÄRNAMO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46273</v>
      </c>
      <c r="F165" t="inlineStr">
        <is>
          <t>JÖNKÖPINGS LÄN</t>
        </is>
      </c>
      <c r="G165" t="inlineStr">
        <is>
          <t>VÄRNAMO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45587</v>
      </c>
      <c r="E166" s="1" t="n">
        <v>46273</v>
      </c>
      <c r="F166" t="inlineStr">
        <is>
          <t>JÖNKÖPINGS LÄN</t>
        </is>
      </c>
      <c r="G166" t="inlineStr">
        <is>
          <t>VÄRNAMO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46273</v>
      </c>
      <c r="F167" t="inlineStr">
        <is>
          <t>JÖNKÖPINGS LÄN</t>
        </is>
      </c>
      <c r="G167" t="inlineStr">
        <is>
          <t>VÄRNAMO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46273</v>
      </c>
      <c r="F168" t="inlineStr">
        <is>
          <t>JÖNKÖPINGS LÄN</t>
        </is>
      </c>
      <c r="G168" t="inlineStr">
        <is>
          <t>VÄRNAMO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45772</v>
      </c>
      <c r="E169" s="1" t="n">
        <v>46273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46273</v>
      </c>
      <c r="F170" t="inlineStr">
        <is>
          <t>JÖNKÖPINGS LÄN</t>
        </is>
      </c>
      <c r="G170" t="inlineStr">
        <is>
          <t>VÄRNAMO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45558</v>
      </c>
      <c r="E171" s="1" t="n">
        <v>46273</v>
      </c>
      <c r="F171" t="inlineStr">
        <is>
          <t>JÖNKÖPINGS LÄN</t>
        </is>
      </c>
      <c r="G171" t="inlineStr">
        <is>
          <t>VÄRNAMO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45270</v>
      </c>
      <c r="E172" s="1" t="n">
        <v>46273</v>
      </c>
      <c r="F172" t="inlineStr">
        <is>
          <t>JÖNKÖPINGS LÄN</t>
        </is>
      </c>
      <c r="G172" t="inlineStr">
        <is>
          <t>VÄRNAMO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44931</v>
      </c>
      <c r="E173" s="1" t="n">
        <v>46273</v>
      </c>
      <c r="F173" t="inlineStr">
        <is>
          <t>JÖNKÖPINGS LÄN</t>
        </is>
      </c>
      <c r="G173" t="inlineStr">
        <is>
          <t>VÄRNAMO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46273</v>
      </c>
      <c r="F174" t="inlineStr">
        <is>
          <t>JÖNKÖPINGS LÄN</t>
        </is>
      </c>
      <c r="G174" t="inlineStr">
        <is>
          <t>VÄRNAMO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44942</v>
      </c>
      <c r="E175" s="1" t="n">
        <v>46273</v>
      </c>
      <c r="F175" t="inlineStr">
        <is>
          <t>JÖNKÖPINGS LÄN</t>
        </is>
      </c>
      <c r="G175" t="inlineStr">
        <is>
          <t>VÄRNAMO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68171-2021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46273</v>
      </c>
      <c r="F176" t="inlineStr">
        <is>
          <t>JÖNKÖPINGS LÄN</t>
        </is>
      </c>
      <c r="G176" t="inlineStr">
        <is>
          <t>VÄRNAMO</t>
        </is>
      </c>
      <c r="H176" t="inlineStr">
        <is>
          <t>Kommuner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46273</v>
      </c>
      <c r="F177" t="inlineStr">
        <is>
          <t>JÖNKÖPINGS LÄN</t>
        </is>
      </c>
      <c r="G177" t="inlineStr">
        <is>
          <t>VÄRNAMO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46273</v>
      </c>
      <c r="F178" t="inlineStr">
        <is>
          <t>JÖNKÖPINGS LÄN</t>
        </is>
      </c>
      <c r="G178" t="inlineStr">
        <is>
          <t>VÄRNAMO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46273</v>
      </c>
      <c r="F179" t="inlineStr">
        <is>
          <t>JÖNKÖPINGS LÄN</t>
        </is>
      </c>
      <c r="G179" t="inlineStr">
        <is>
          <t>VÄRNAMO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46273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14439-2023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45012</v>
      </c>
      <c r="E181" s="1" t="n">
        <v>46273</v>
      </c>
      <c r="F181" t="inlineStr">
        <is>
          <t>JÖNKÖPINGS LÄN</t>
        </is>
      </c>
      <c r="G181" t="inlineStr">
        <is>
          <t>VÄRNAMO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46273</v>
      </c>
      <c r="F182" t="inlineStr">
        <is>
          <t>JÖNKÖPINGS LÄN</t>
        </is>
      </c>
      <c r="G182" t="inlineStr">
        <is>
          <t>VÄRNAMO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46273</v>
      </c>
      <c r="F183" t="inlineStr">
        <is>
          <t>JÖNKÖPINGS LÄN</t>
        </is>
      </c>
      <c r="G183" t="inlineStr">
        <is>
          <t>VÄRNAMO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46273</v>
      </c>
      <c r="F184" t="inlineStr">
        <is>
          <t>JÖNKÖPINGS LÄN</t>
        </is>
      </c>
      <c r="G184" t="inlineStr">
        <is>
          <t>VÄRNAMO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46273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45853</v>
      </c>
      <c r="E186" s="1" t="n">
        <v>46273</v>
      </c>
      <c r="F186" t="inlineStr">
        <is>
          <t>JÖNKÖPINGS LÄN</t>
        </is>
      </c>
      <c r="G186" t="inlineStr">
        <is>
          <t>VÄRNAMO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45853</v>
      </c>
      <c r="E187" s="1" t="n">
        <v>46273</v>
      </c>
      <c r="F187" t="inlineStr">
        <is>
          <t>JÖNKÖPINGS LÄN</t>
        </is>
      </c>
      <c r="G187" t="inlineStr">
        <is>
          <t>VÄRNAMO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46273</v>
      </c>
      <c r="F188" t="inlineStr">
        <is>
          <t>JÖNKÖPINGS LÄN</t>
        </is>
      </c>
      <c r="G188" t="inlineStr">
        <is>
          <t>VÄRNAMO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46273</v>
      </c>
      <c r="F189" t="inlineStr">
        <is>
          <t>JÖNKÖPINGS LÄN</t>
        </is>
      </c>
      <c r="G189" t="inlineStr">
        <is>
          <t>VÄRNAMO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45414</v>
      </c>
      <c r="E190" s="1" t="n">
        <v>46273</v>
      </c>
      <c r="F190" t="inlineStr">
        <is>
          <t>JÖNKÖPINGS LÄN</t>
        </is>
      </c>
      <c r="G190" t="inlineStr">
        <is>
          <t>VÄRNAMO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46273</v>
      </c>
      <c r="F191" t="inlineStr">
        <is>
          <t>JÖNKÖPINGS LÄN</t>
        </is>
      </c>
      <c r="G191" t="inlineStr">
        <is>
          <t>VÄRNAMO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46273</v>
      </c>
      <c r="F192" t="inlineStr">
        <is>
          <t>JÖNKÖPINGS LÄN</t>
        </is>
      </c>
      <c r="G192" t="inlineStr">
        <is>
          <t>VÄRNAMO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46273</v>
      </c>
      <c r="F193" t="inlineStr">
        <is>
          <t>JÖNKÖPINGS LÄN</t>
        </is>
      </c>
      <c r="G193" t="inlineStr">
        <is>
          <t>VÄRNAMO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46273</v>
      </c>
      <c r="F194" t="inlineStr">
        <is>
          <t>JÖNKÖPINGS LÄN</t>
        </is>
      </c>
      <c r="G194" t="inlineStr">
        <is>
          <t>VÄRNAMO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46273</v>
      </c>
      <c r="F195" t="inlineStr">
        <is>
          <t>JÖNKÖPINGS LÄN</t>
        </is>
      </c>
      <c r="G195" t="inlineStr">
        <is>
          <t>VÄRNAMO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46273</v>
      </c>
      <c r="F196" t="inlineStr">
        <is>
          <t>JÖNKÖPINGS LÄN</t>
        </is>
      </c>
      <c r="G196" t="inlineStr">
        <is>
          <t>VÄRNAMO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46273</v>
      </c>
      <c r="F197" t="inlineStr">
        <is>
          <t>JÖNKÖPINGS LÄN</t>
        </is>
      </c>
      <c r="G197" t="inlineStr">
        <is>
          <t>VÄRNAMO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46273</v>
      </c>
      <c r="F198" t="inlineStr">
        <is>
          <t>JÖNKÖPINGS LÄN</t>
        </is>
      </c>
      <c r="G198" t="inlineStr">
        <is>
          <t>VÄRNAMO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45509</v>
      </c>
      <c r="E199" s="1" t="n">
        <v>46273</v>
      </c>
      <c r="F199" t="inlineStr">
        <is>
          <t>JÖNKÖPINGS LÄN</t>
        </is>
      </c>
      <c r="G199" t="inlineStr">
        <is>
          <t>VÄRNAMO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45674</v>
      </c>
      <c r="E200" s="1" t="n">
        <v>46273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46273</v>
      </c>
      <c r="F201" t="inlineStr">
        <is>
          <t>JÖNKÖPINGS LÄN</t>
        </is>
      </c>
      <c r="G201" t="inlineStr">
        <is>
          <t>VÄRNAMO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46273</v>
      </c>
      <c r="F202" t="inlineStr">
        <is>
          <t>JÖNKÖPINGS LÄN</t>
        </is>
      </c>
      <c r="G202" t="inlineStr">
        <is>
          <t>VÄRNAMO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46273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46273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46273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46273</v>
      </c>
      <c r="F206" t="inlineStr">
        <is>
          <t>JÖNKÖPINGS LÄN</t>
        </is>
      </c>
      <c r="G206" t="inlineStr">
        <is>
          <t>VÄRNAMO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33315-2025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45841</v>
      </c>
      <c r="E207" s="1" t="n">
        <v>46273</v>
      </c>
      <c r="F207" t="inlineStr">
        <is>
          <t>JÖNKÖPINGS LÄN</t>
        </is>
      </c>
      <c r="G207" t="inlineStr">
        <is>
          <t>VÄRNAMO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46273</v>
      </c>
      <c r="F208" t="inlineStr">
        <is>
          <t>JÖNKÖPINGS LÄN</t>
        </is>
      </c>
      <c r="G208" t="inlineStr">
        <is>
          <t>VÄRNAMO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45912</v>
      </c>
      <c r="E209" s="1" t="n">
        <v>46273</v>
      </c>
      <c r="F209" t="inlineStr">
        <is>
          <t>JÖNKÖPINGS LÄN</t>
        </is>
      </c>
      <c r="G209" t="inlineStr">
        <is>
          <t>VÄRNAMO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46273</v>
      </c>
      <c r="F210" t="inlineStr">
        <is>
          <t>JÖNKÖPINGS LÄN</t>
        </is>
      </c>
      <c r="G210" t="inlineStr">
        <is>
          <t>VÄRNAMO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46273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46273</v>
      </c>
      <c r="F212" t="inlineStr">
        <is>
          <t>JÖNKÖPINGS LÄN</t>
        </is>
      </c>
      <c r="G212" t="inlineStr">
        <is>
          <t>VÄRNAMO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46273</v>
      </c>
      <c r="F213" t="inlineStr">
        <is>
          <t>JÖNKÖPINGS LÄN</t>
        </is>
      </c>
      <c r="G213" t="inlineStr">
        <is>
          <t>VÄRNAMO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46273</v>
      </c>
      <c r="F214" t="inlineStr">
        <is>
          <t>JÖNKÖPINGS LÄN</t>
        </is>
      </c>
      <c r="G214" t="inlineStr">
        <is>
          <t>VÄRNAMO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46273</v>
      </c>
      <c r="F215" t="inlineStr">
        <is>
          <t>JÖNKÖPINGS LÄN</t>
        </is>
      </c>
      <c r="G215" t="inlineStr">
        <is>
          <t>VÄRNAMO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46273</v>
      </c>
      <c r="F216" t="inlineStr">
        <is>
          <t>JÖNKÖPINGS LÄN</t>
        </is>
      </c>
      <c r="G216" t="inlineStr">
        <is>
          <t>VÄRNAMO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44797</v>
      </c>
      <c r="E217" s="1" t="n">
        <v>46273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46273</v>
      </c>
      <c r="F218" t="inlineStr">
        <is>
          <t>JÖNKÖPINGS LÄN</t>
        </is>
      </c>
      <c r="G218" t="inlineStr">
        <is>
          <t>VÄRNAMO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46273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46273</v>
      </c>
      <c r="F220" t="inlineStr">
        <is>
          <t>JÖNKÖPINGS LÄN</t>
        </is>
      </c>
      <c r="G220" t="inlineStr">
        <is>
          <t>VÄRNAMO</t>
        </is>
      </c>
      <c r="H220" t="inlineStr">
        <is>
          <t>Övriga Aktiebolag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46273</v>
      </c>
      <c r="F221" t="inlineStr">
        <is>
          <t>JÖNKÖPINGS LÄN</t>
        </is>
      </c>
      <c r="G221" t="inlineStr">
        <is>
          <t>VÄRNAMO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46273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45036</v>
      </c>
      <c r="E223" s="1" t="n">
        <v>46273</v>
      </c>
      <c r="F223" t="inlineStr">
        <is>
          <t>JÖNKÖPINGS LÄN</t>
        </is>
      </c>
      <c r="G223" t="inlineStr">
        <is>
          <t>VÄRNAMO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46273</v>
      </c>
      <c r="F224" t="inlineStr">
        <is>
          <t>JÖNKÖPINGS LÄN</t>
        </is>
      </c>
      <c r="G224" t="inlineStr">
        <is>
          <t>VÄRNAMO</t>
        </is>
      </c>
      <c r="H224" t="inlineStr">
        <is>
          <t>Sveaskog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24702-2022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44727</v>
      </c>
      <c r="E225" s="1" t="n">
        <v>46273</v>
      </c>
      <c r="F225" t="inlineStr">
        <is>
          <t>JÖNKÖPINGS LÄN</t>
        </is>
      </c>
      <c r="G225" t="inlineStr">
        <is>
          <t>VÄRNAMO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46273</v>
      </c>
      <c r="F226" t="inlineStr">
        <is>
          <t>JÖNKÖPINGS LÄN</t>
        </is>
      </c>
      <c r="G226" t="inlineStr">
        <is>
          <t>VÄRNAMO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46273</v>
      </c>
      <c r="F227" t="inlineStr">
        <is>
          <t>JÖNKÖPINGS LÄN</t>
        </is>
      </c>
      <c r="G227" t="inlineStr">
        <is>
          <t>VÄRNAMO</t>
        </is>
      </c>
      <c r="H227" t="inlineStr">
        <is>
          <t>Övriga Aktiebolag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46273</v>
      </c>
      <c r="F228" t="inlineStr">
        <is>
          <t>JÖNKÖPINGS LÄN</t>
        </is>
      </c>
      <c r="G228" t="inlineStr">
        <is>
          <t>VÄRNAMO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45664</v>
      </c>
      <c r="E229" s="1" t="n">
        <v>46273</v>
      </c>
      <c r="F229" t="inlineStr">
        <is>
          <t>JÖNKÖPINGS LÄN</t>
        </is>
      </c>
      <c r="G229" t="inlineStr">
        <is>
          <t>VÄRNAMO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46273</v>
      </c>
      <c r="F230" t="inlineStr">
        <is>
          <t>JÖNKÖPINGS LÄN</t>
        </is>
      </c>
      <c r="G230" t="inlineStr">
        <is>
          <t>VÄRNAMO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46273</v>
      </c>
      <c r="F231" t="inlineStr">
        <is>
          <t>JÖNKÖPINGS LÄN</t>
        </is>
      </c>
      <c r="G231" t="inlineStr">
        <is>
          <t>VÄRNAMO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46273</v>
      </c>
      <c r="F232" t="inlineStr">
        <is>
          <t>JÖNKÖPINGS LÄN</t>
        </is>
      </c>
      <c r="G232" t="inlineStr">
        <is>
          <t>VÄRNAMO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45200</v>
      </c>
      <c r="E233" s="1" t="n">
        <v>46273</v>
      </c>
      <c r="F233" t="inlineStr">
        <is>
          <t>JÖNKÖPINGS LÄN</t>
        </is>
      </c>
      <c r="G233" t="inlineStr">
        <is>
          <t>VÄRNAMO</t>
        </is>
      </c>
      <c r="H233" t="inlineStr">
        <is>
          <t>Övriga Aktiebolag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45154</v>
      </c>
      <c r="E234" s="1" t="n">
        <v>46273</v>
      </c>
      <c r="F234" t="inlineStr">
        <is>
          <t>JÖNKÖPINGS LÄN</t>
        </is>
      </c>
      <c r="G234" t="inlineStr">
        <is>
          <t>VÄRNAMO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46273</v>
      </c>
      <c r="F235" t="inlineStr">
        <is>
          <t>JÖNKÖPINGS LÄN</t>
        </is>
      </c>
      <c r="G235" t="inlineStr">
        <is>
          <t>VÄRNAMO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45509</v>
      </c>
      <c r="E236" s="1" t="n">
        <v>46273</v>
      </c>
      <c r="F236" t="inlineStr">
        <is>
          <t>JÖNKÖPINGS LÄN</t>
        </is>
      </c>
      <c r="G236" t="inlineStr">
        <is>
          <t>VÄRNAMO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46273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46273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46273</v>
      </c>
      <c r="F239" t="inlineStr">
        <is>
          <t>JÖNKÖPINGS LÄN</t>
        </is>
      </c>
      <c r="G239" t="inlineStr">
        <is>
          <t>VÄRNAMO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46273</v>
      </c>
      <c r="F240" t="inlineStr">
        <is>
          <t>JÖNKÖPINGS LÄN</t>
        </is>
      </c>
      <c r="G240" t="inlineStr">
        <is>
          <t>VÄRNAMO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46273</v>
      </c>
      <c r="F241" t="inlineStr">
        <is>
          <t>JÖNKÖPINGS LÄN</t>
        </is>
      </c>
      <c r="G241" t="inlineStr">
        <is>
          <t>VÄRNAMO</t>
        </is>
      </c>
      <c r="H241" t="inlineStr">
        <is>
          <t>Sveaskog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44831</v>
      </c>
      <c r="E242" s="1" t="n">
        <v>46273</v>
      </c>
      <c r="F242" t="inlineStr">
        <is>
          <t>JÖNKÖPINGS LÄN</t>
        </is>
      </c>
      <c r="G242" t="inlineStr">
        <is>
          <t>VÄRNAMO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46273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45718</v>
      </c>
      <c r="E244" s="1" t="n">
        <v>46273</v>
      </c>
      <c r="F244" t="inlineStr">
        <is>
          <t>JÖNKÖPINGS LÄN</t>
        </is>
      </c>
      <c r="G244" t="inlineStr">
        <is>
          <t>VÄRNAMO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46273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51463-2022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44869</v>
      </c>
      <c r="E246" s="1" t="n">
        <v>46273</v>
      </c>
      <c r="F246" t="inlineStr">
        <is>
          <t>JÖNKÖPINGS LÄN</t>
        </is>
      </c>
      <c r="G246" t="inlineStr">
        <is>
          <t>VÄRNAMO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46273</v>
      </c>
      <c r="F247" t="inlineStr">
        <is>
          <t>JÖNKÖPINGS LÄN</t>
        </is>
      </c>
      <c r="G247" t="inlineStr">
        <is>
          <t>VÄRNAMO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51430-2021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44461</v>
      </c>
      <c r="E248" s="1" t="n">
        <v>46273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46160</v>
      </c>
      <c r="E249" s="1" t="n">
        <v>46273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45959</v>
      </c>
      <c r="E250" s="1" t="n">
        <v>46273</v>
      </c>
      <c r="F250" t="inlineStr">
        <is>
          <t>JÖNKÖPINGS LÄN</t>
        </is>
      </c>
      <c r="G250" t="inlineStr">
        <is>
          <t>VÄRNAMO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46273</v>
      </c>
      <c r="F251" t="inlineStr">
        <is>
          <t>JÖNKÖPINGS LÄN</t>
        </is>
      </c>
      <c r="G251" t="inlineStr">
        <is>
          <t>VÄRNAMO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46273</v>
      </c>
      <c r="F252" t="inlineStr">
        <is>
          <t>JÖNKÖPINGS LÄN</t>
        </is>
      </c>
      <c r="G252" t="inlineStr">
        <is>
          <t>VÄRNAMO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46273</v>
      </c>
      <c r="F253" t="inlineStr">
        <is>
          <t>JÖNKÖPINGS LÄN</t>
        </is>
      </c>
      <c r="G253" t="inlineStr">
        <is>
          <t>VÄRNAMO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46273</v>
      </c>
      <c r="F254" t="inlineStr">
        <is>
          <t>JÖNKÖPINGS LÄN</t>
        </is>
      </c>
      <c r="G254" t="inlineStr">
        <is>
          <t>VÄRNAMO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46273</v>
      </c>
      <c r="F255" t="inlineStr">
        <is>
          <t>JÖNKÖPINGS LÄN</t>
        </is>
      </c>
      <c r="G255" t="inlineStr">
        <is>
          <t>VÄRNAMO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46273</v>
      </c>
      <c r="F256" t="inlineStr">
        <is>
          <t>JÖNKÖPINGS LÄN</t>
        </is>
      </c>
      <c r="G256" t="inlineStr">
        <is>
          <t>VÄRNAMO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46273</v>
      </c>
      <c r="F257" t="inlineStr">
        <is>
          <t>JÖNKÖPINGS LÄN</t>
        </is>
      </c>
      <c r="G257" t="inlineStr">
        <is>
          <t>VÄRNAMO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45496</v>
      </c>
      <c r="E258" s="1" t="n">
        <v>46273</v>
      </c>
      <c r="F258" t="inlineStr">
        <is>
          <t>JÖNKÖPINGS LÄN</t>
        </is>
      </c>
      <c r="G258" t="inlineStr">
        <is>
          <t>VÄRNAMO</t>
        </is>
      </c>
      <c r="H258" t="inlineStr">
        <is>
          <t>Kommuner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15630-2023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46273</v>
      </c>
      <c r="F259" t="inlineStr">
        <is>
          <t>JÖNKÖPINGS LÄN</t>
        </is>
      </c>
      <c r="G259" t="inlineStr">
        <is>
          <t>VÄRNAMO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46273</v>
      </c>
      <c r="F260" t="inlineStr">
        <is>
          <t>JÖNKÖPINGS LÄN</t>
        </is>
      </c>
      <c r="G260" t="inlineStr">
        <is>
          <t>VÄRNAMO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46273</v>
      </c>
      <c r="F261" t="inlineStr">
        <is>
          <t>JÖNKÖPINGS LÄN</t>
        </is>
      </c>
      <c r="G261" t="inlineStr">
        <is>
          <t>VÄRNAMO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46273</v>
      </c>
      <c r="F262" t="inlineStr">
        <is>
          <t>JÖNKÖPINGS LÄN</t>
        </is>
      </c>
      <c r="G262" t="inlineStr">
        <is>
          <t>VÄRNAMO</t>
        </is>
      </c>
      <c r="I262" t="n">
        <v>10.8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46273</v>
      </c>
      <c r="F263" t="inlineStr">
        <is>
          <t>JÖNKÖPINGS LÄN</t>
        </is>
      </c>
      <c r="G263" t="inlineStr">
        <is>
          <t>VÄRNAMO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46273</v>
      </c>
      <c r="F264" t="inlineStr">
        <is>
          <t>JÖNKÖPINGS LÄN</t>
        </is>
      </c>
      <c r="G264" t="inlineStr">
        <is>
          <t>VÄRNAMO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46273</v>
      </c>
      <c r="F265" t="inlineStr">
        <is>
          <t>JÖNKÖPINGS LÄN</t>
        </is>
      </c>
      <c r="G265" t="inlineStr">
        <is>
          <t>VÄRNAMO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46273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46273</v>
      </c>
      <c r="F267" t="inlineStr">
        <is>
          <t>JÖNKÖPINGS LÄN</t>
        </is>
      </c>
      <c r="G267" t="inlineStr">
        <is>
          <t>VÄRNAMO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46273</v>
      </c>
      <c r="F268" t="inlineStr">
        <is>
          <t>JÖNKÖPINGS LÄN</t>
        </is>
      </c>
      <c r="G268" t="inlineStr">
        <is>
          <t>VÄRNAMO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46172</v>
      </c>
      <c r="E269" s="1" t="n">
        <v>46273</v>
      </c>
      <c r="F269" t="inlineStr">
        <is>
          <t>JÖNKÖPINGS LÄN</t>
        </is>
      </c>
      <c r="G269" t="inlineStr">
        <is>
          <t>VÄRNAMO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46273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46273</v>
      </c>
      <c r="F271" t="inlineStr">
        <is>
          <t>JÖNKÖPINGS LÄN</t>
        </is>
      </c>
      <c r="G271" t="inlineStr">
        <is>
          <t>VÄRNAMO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46273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46273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46273</v>
      </c>
      <c r="F274" t="inlineStr">
        <is>
          <t>JÖNKÖPINGS LÄN</t>
        </is>
      </c>
      <c r="G274" t="inlineStr">
        <is>
          <t>VÄRNAMO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46273</v>
      </c>
      <c r="F275" t="inlineStr">
        <is>
          <t>JÖNKÖPINGS LÄN</t>
        </is>
      </c>
      <c r="G275" t="inlineStr">
        <is>
          <t>VÄRNAMO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46273</v>
      </c>
      <c r="F276" t="inlineStr">
        <is>
          <t>JÖNKÖPINGS LÄN</t>
        </is>
      </c>
      <c r="G276" t="inlineStr">
        <is>
          <t>VÄRNAMO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46273</v>
      </c>
      <c r="F277" t="inlineStr">
        <is>
          <t>JÖNKÖPINGS LÄN</t>
        </is>
      </c>
      <c r="G277" t="inlineStr">
        <is>
          <t>VÄRNAMO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46273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36410-2023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45149</v>
      </c>
      <c r="E279" s="1" t="n">
        <v>46273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46273</v>
      </c>
      <c r="F280" t="inlineStr">
        <is>
          <t>JÖNKÖPINGS LÄN</t>
        </is>
      </c>
      <c r="G280" t="inlineStr">
        <is>
          <t>VÄRNAMO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46273</v>
      </c>
      <c r="F281" t="inlineStr">
        <is>
          <t>JÖNKÖPINGS LÄN</t>
        </is>
      </c>
      <c r="G281" t="inlineStr">
        <is>
          <t>VÄRNAMO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46273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15105-2026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46101</v>
      </c>
      <c r="E283" s="1" t="n">
        <v>46273</v>
      </c>
      <c r="F283" t="inlineStr">
        <is>
          <t>JÖNKÖPINGS LÄN</t>
        </is>
      </c>
      <c r="G283" t="inlineStr">
        <is>
          <t>VÄRNAMO</t>
        </is>
      </c>
      <c r="I283" t="n">
        <v>58.2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44936</v>
      </c>
      <c r="E284" s="1" t="n">
        <v>46273</v>
      </c>
      <c r="F284" t="inlineStr">
        <is>
          <t>JÖNKÖPINGS LÄN</t>
        </is>
      </c>
      <c r="G284" t="inlineStr">
        <is>
          <t>VÄRNAMO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46273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46273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46273</v>
      </c>
      <c r="F287" t="inlineStr">
        <is>
          <t>JÖNKÖPINGS LÄN</t>
        </is>
      </c>
      <c r="G287" t="inlineStr">
        <is>
          <t>VÄRNAMO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46273</v>
      </c>
      <c r="F288" t="inlineStr">
        <is>
          <t>JÖNKÖPINGS LÄN</t>
        </is>
      </c>
      <c r="G288" t="inlineStr">
        <is>
          <t>VÄRNAMO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46273</v>
      </c>
      <c r="F289" t="inlineStr">
        <is>
          <t>JÖNKÖPINGS LÄN</t>
        </is>
      </c>
      <c r="G289" t="inlineStr">
        <is>
          <t>VÄRNAMO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46273</v>
      </c>
      <c r="F290" t="inlineStr">
        <is>
          <t>JÖNKÖPINGS LÄN</t>
        </is>
      </c>
      <c r="G290" t="inlineStr">
        <is>
          <t>VÄRNAMO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46273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46273</v>
      </c>
      <c r="F292" t="inlineStr">
        <is>
          <t>JÖNKÖPINGS LÄN</t>
        </is>
      </c>
      <c r="G292" t="inlineStr">
        <is>
          <t>VÄRNAMO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45987</v>
      </c>
      <c r="E293" s="1" t="n">
        <v>46273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46273</v>
      </c>
      <c r="F294" t="inlineStr">
        <is>
          <t>JÖNKÖPINGS LÄN</t>
        </is>
      </c>
      <c r="G294" t="inlineStr">
        <is>
          <t>VÄRNAMO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45106</v>
      </c>
      <c r="E295" s="1" t="n">
        <v>46273</v>
      </c>
      <c r="F295" t="inlineStr">
        <is>
          <t>JÖNKÖPINGS LÄN</t>
        </is>
      </c>
      <c r="G295" t="inlineStr">
        <is>
          <t>VÄRNAMO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46273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46273</v>
      </c>
      <c r="F297" t="inlineStr">
        <is>
          <t>JÖNKÖPINGS LÄN</t>
        </is>
      </c>
      <c r="G297" t="inlineStr">
        <is>
          <t>VÄRNAMO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46273</v>
      </c>
      <c r="F298" t="inlineStr">
        <is>
          <t>JÖNKÖPINGS LÄN</t>
        </is>
      </c>
      <c r="G298" t="inlineStr">
        <is>
          <t>VÄRNAMO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46183</v>
      </c>
      <c r="E299" s="1" t="n">
        <v>46273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45124</v>
      </c>
      <c r="E300" s="1" t="n">
        <v>46273</v>
      </c>
      <c r="F300" t="inlineStr">
        <is>
          <t>JÖNKÖPINGS LÄN</t>
        </is>
      </c>
      <c r="G300" t="inlineStr">
        <is>
          <t>VÄRNAMO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45769</v>
      </c>
      <c r="E301" s="1" t="n">
        <v>46273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46182</v>
      </c>
      <c r="E302" s="1" t="n">
        <v>46273</v>
      </c>
      <c r="F302" t="inlineStr">
        <is>
          <t>JÖNKÖPINGS LÄN</t>
        </is>
      </c>
      <c r="G302" t="inlineStr">
        <is>
          <t>VÄRNAMO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46273</v>
      </c>
      <c r="F303" t="inlineStr">
        <is>
          <t>JÖNKÖPINGS LÄN</t>
        </is>
      </c>
      <c r="G303" t="inlineStr">
        <is>
          <t>VÄRNAMO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46273</v>
      </c>
      <c r="F304" t="inlineStr">
        <is>
          <t>JÖNKÖPINGS LÄN</t>
        </is>
      </c>
      <c r="G304" t="inlineStr">
        <is>
          <t>VÄRNAMO</t>
        </is>
      </c>
      <c r="H304" t="inlineStr">
        <is>
          <t>Kommuner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46273</v>
      </c>
      <c r="F305" t="inlineStr">
        <is>
          <t>JÖNKÖPINGS LÄN</t>
        </is>
      </c>
      <c r="G305" t="inlineStr">
        <is>
          <t>VÄRNAMO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46273</v>
      </c>
      <c r="F306" t="inlineStr">
        <is>
          <t>JÖNKÖPINGS LÄN</t>
        </is>
      </c>
      <c r="G306" t="inlineStr">
        <is>
          <t>VÄRNAMO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46273</v>
      </c>
      <c r="F307" t="inlineStr">
        <is>
          <t>JÖNKÖPINGS LÄN</t>
        </is>
      </c>
      <c r="G307" t="inlineStr">
        <is>
          <t>VÄRNAMO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46273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46273</v>
      </c>
      <c r="F309" t="inlineStr">
        <is>
          <t>JÖNKÖPINGS LÄN</t>
        </is>
      </c>
      <c r="G309" t="inlineStr">
        <is>
          <t>VÄRNAMO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46273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46189</v>
      </c>
      <c r="E311" s="1" t="n">
        <v>46273</v>
      </c>
      <c r="F311" t="inlineStr">
        <is>
          <t>JÖNKÖPINGS LÄN</t>
        </is>
      </c>
      <c r="G311" t="inlineStr">
        <is>
          <t>VÄRNAMO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46273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27153-2026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46188</v>
      </c>
      <c r="E313" s="1" t="n">
        <v>46273</v>
      </c>
      <c r="F313" t="inlineStr">
        <is>
          <t>JÖNKÖPINGS LÄN</t>
        </is>
      </c>
      <c r="G313" t="inlineStr">
        <is>
          <t>VÄRNAMO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46273</v>
      </c>
      <c r="F314" t="inlineStr">
        <is>
          <t>JÖNKÖPINGS LÄN</t>
        </is>
      </c>
      <c r="G314" t="inlineStr">
        <is>
          <t>VÄRNAMO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46273</v>
      </c>
      <c r="F315" t="inlineStr">
        <is>
          <t>JÖNKÖPINGS LÄN</t>
        </is>
      </c>
      <c r="G315" t="inlineStr">
        <is>
          <t>VÄRNAMO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46273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39656-2023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45167</v>
      </c>
      <c r="E317" s="1" t="n">
        <v>46273</v>
      </c>
      <c r="F317" t="inlineStr">
        <is>
          <t>JÖNKÖPINGS LÄN</t>
        </is>
      </c>
      <c r="G317" t="inlineStr">
        <is>
          <t>VÄRNAMO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46273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46273</v>
      </c>
      <c r="F319" t="inlineStr">
        <is>
          <t>JÖNKÖPINGS LÄN</t>
        </is>
      </c>
      <c r="G319" t="inlineStr">
        <is>
          <t>VÄRNAMO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74310-2021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44559</v>
      </c>
      <c r="E320" s="1" t="n">
        <v>46273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46273</v>
      </c>
      <c r="F321" t="inlineStr">
        <is>
          <t>JÖNKÖPINGS LÄN</t>
        </is>
      </c>
      <c r="G321" t="inlineStr">
        <is>
          <t>VÄRNAMO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46273</v>
      </c>
      <c r="F322" t="inlineStr">
        <is>
          <t>JÖNKÖPINGS LÄN</t>
        </is>
      </c>
      <c r="G322" t="inlineStr">
        <is>
          <t>VÄRNAMO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46273</v>
      </c>
      <c r="F323" t="inlineStr">
        <is>
          <t>JÖNKÖPINGS LÄN</t>
        </is>
      </c>
      <c r="G323" t="inlineStr">
        <is>
          <t>VÄRNAMO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45517</v>
      </c>
      <c r="E324" s="1" t="n">
        <v>46273</v>
      </c>
      <c r="F324" t="inlineStr">
        <is>
          <t>JÖNKÖPINGS LÄN</t>
        </is>
      </c>
      <c r="G324" t="inlineStr">
        <is>
          <t>VÄRNAMO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46273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46273</v>
      </c>
      <c r="F326" t="inlineStr">
        <is>
          <t>JÖNKÖPINGS LÄN</t>
        </is>
      </c>
      <c r="G326" t="inlineStr">
        <is>
          <t>VÄRNAMO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46273</v>
      </c>
      <c r="F327" t="inlineStr">
        <is>
          <t>JÖNKÖPINGS LÄN</t>
        </is>
      </c>
      <c r="G327" t="inlineStr">
        <is>
          <t>VÄRNAMO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27869-2026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46273</v>
      </c>
      <c r="F328" t="inlineStr">
        <is>
          <t>JÖNKÖPINGS LÄN</t>
        </is>
      </c>
      <c r="G328" t="inlineStr">
        <is>
          <t>VÄRNAMO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46273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46273</v>
      </c>
      <c r="F330" t="inlineStr">
        <is>
          <t>JÖNKÖPINGS LÄN</t>
        </is>
      </c>
      <c r="G330" t="inlineStr">
        <is>
          <t>VÄRNAMO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46273</v>
      </c>
      <c r="F331" t="inlineStr">
        <is>
          <t>JÖNKÖPINGS LÄN</t>
        </is>
      </c>
      <c r="G331" t="inlineStr">
        <is>
          <t>VÄRNAMO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46273</v>
      </c>
      <c r="F332" t="inlineStr">
        <is>
          <t>JÖNKÖPINGS LÄN</t>
        </is>
      </c>
      <c r="G332" t="inlineStr">
        <is>
          <t>VÄRNAMO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46273</v>
      </c>
      <c r="F333" t="inlineStr">
        <is>
          <t>JÖNKÖPINGS LÄN</t>
        </is>
      </c>
      <c r="G333" t="inlineStr">
        <is>
          <t>VÄRNAMO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46273</v>
      </c>
      <c r="F334" t="inlineStr">
        <is>
          <t>JÖNKÖPINGS LÄN</t>
        </is>
      </c>
      <c r="G334" t="inlineStr">
        <is>
          <t>VÄRNAMO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46273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46273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46273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32389-2026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46238</v>
      </c>
      <c r="E338" s="1" t="n">
        <v>46273</v>
      </c>
      <c r="F338" t="inlineStr">
        <is>
          <t>JÖNKÖPINGS LÄN</t>
        </is>
      </c>
      <c r="G338" t="inlineStr">
        <is>
          <t>VÄRNAMO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45308</v>
      </c>
      <c r="E339" s="1" t="n">
        <v>46273</v>
      </c>
      <c r="F339" t="inlineStr">
        <is>
          <t>JÖNKÖPINGS LÄN</t>
        </is>
      </c>
      <c r="G339" t="inlineStr">
        <is>
          <t>VÄRNAMO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45713</v>
      </c>
      <c r="E340" s="1" t="n">
        <v>46273</v>
      </c>
      <c r="F340" t="inlineStr">
        <is>
          <t>JÖNKÖPINGS LÄN</t>
        </is>
      </c>
      <c r="G340" t="inlineStr">
        <is>
          <t>VÄRNAMO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45188</v>
      </c>
      <c r="E341" s="1" t="n">
        <v>46273</v>
      </c>
      <c r="F341" t="inlineStr">
        <is>
          <t>JÖNKÖPINGS LÄN</t>
        </is>
      </c>
      <c r="G341" t="inlineStr">
        <is>
          <t>VÄRNAMO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44642</v>
      </c>
      <c r="E342" s="1" t="n">
        <v>46273</v>
      </c>
      <c r="F342" t="inlineStr">
        <is>
          <t>JÖNKÖPINGS LÄN</t>
        </is>
      </c>
      <c r="G342" t="inlineStr">
        <is>
          <t>VÄRNAMO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44642</v>
      </c>
      <c r="E343" s="1" t="n">
        <v>46273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32413-2026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46238</v>
      </c>
      <c r="E344" s="1" t="n">
        <v>46273</v>
      </c>
      <c r="F344" t="inlineStr">
        <is>
          <t>JÖNKÖPINGS LÄN</t>
        </is>
      </c>
      <c r="G344" t="inlineStr">
        <is>
          <t>VÄRNAMO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46273</v>
      </c>
      <c r="F345" t="inlineStr">
        <is>
          <t>JÖNKÖPINGS LÄN</t>
        </is>
      </c>
      <c r="G345" t="inlineStr">
        <is>
          <t>VÄRNAMO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46273</v>
      </c>
      <c r="F346" t="inlineStr">
        <is>
          <t>JÖNKÖPINGS LÄN</t>
        </is>
      </c>
      <c r="G346" t="inlineStr">
        <is>
          <t>VÄRNAMO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46273</v>
      </c>
      <c r="F347" t="inlineStr">
        <is>
          <t>JÖNKÖPINGS LÄN</t>
        </is>
      </c>
      <c r="G347" t="inlineStr">
        <is>
          <t>VÄRNAMO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46273</v>
      </c>
      <c r="F348" t="inlineStr">
        <is>
          <t>JÖNKÖPINGS LÄN</t>
        </is>
      </c>
      <c r="G348" t="inlineStr">
        <is>
          <t>VÄRNAMO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46193</v>
      </c>
      <c r="E349" s="1" t="n">
        <v>46273</v>
      </c>
      <c r="F349" t="inlineStr">
        <is>
          <t>JÖNKÖPINGS LÄN</t>
        </is>
      </c>
      <c r="G349" t="inlineStr">
        <is>
          <t>VÄRNAMO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46273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46273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45160</v>
      </c>
      <c r="E352" s="1" t="n">
        <v>46273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46273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46273</v>
      </c>
      <c r="F354" t="inlineStr">
        <is>
          <t>JÖNKÖPINGS LÄN</t>
        </is>
      </c>
      <c r="G354" t="inlineStr">
        <is>
          <t>VÄRNAMO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46273</v>
      </c>
      <c r="F355" t="inlineStr">
        <is>
          <t>JÖNKÖPINGS LÄN</t>
        </is>
      </c>
      <c r="G355" t="inlineStr">
        <is>
          <t>VÄRNAMO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45721</v>
      </c>
      <c r="E356" s="1" t="n">
        <v>46273</v>
      </c>
      <c r="F356" t="inlineStr">
        <is>
          <t>JÖNKÖPINGS LÄN</t>
        </is>
      </c>
      <c r="G356" t="inlineStr">
        <is>
          <t>VÄRNAMO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46029</v>
      </c>
      <c r="E357" s="1" t="n">
        <v>46273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46273</v>
      </c>
      <c r="F358" t="inlineStr">
        <is>
          <t>JÖNKÖPINGS LÄN</t>
        </is>
      </c>
      <c r="G358" t="inlineStr">
        <is>
          <t>VÄRNAMO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46273</v>
      </c>
      <c r="F359" t="inlineStr">
        <is>
          <t>JÖNKÖPINGS LÄN</t>
        </is>
      </c>
      <c r="G359" t="inlineStr">
        <is>
          <t>VÄRNAMO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46273</v>
      </c>
      <c r="F360" t="inlineStr">
        <is>
          <t>JÖNKÖPINGS LÄN</t>
        </is>
      </c>
      <c r="G360" t="inlineStr">
        <is>
          <t>VÄRNAMO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44566</v>
      </c>
      <c r="E361" s="1" t="n">
        <v>46273</v>
      </c>
      <c r="F361" t="inlineStr">
        <is>
          <t>JÖNKÖPINGS LÄN</t>
        </is>
      </c>
      <c r="G361" t="inlineStr">
        <is>
          <t>VÄRNAMO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45635</v>
      </c>
      <c r="E362" s="1" t="n">
        <v>46273</v>
      </c>
      <c r="F362" t="inlineStr">
        <is>
          <t>JÖNKÖPINGS LÄN</t>
        </is>
      </c>
      <c r="G362" t="inlineStr">
        <is>
          <t>VÄRNAMO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46273</v>
      </c>
      <c r="F363" t="inlineStr">
        <is>
          <t>JÖNKÖPINGS LÄN</t>
        </is>
      </c>
      <c r="G363" t="inlineStr">
        <is>
          <t>VÄRNAMO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45328</v>
      </c>
      <c r="E364" s="1" t="n">
        <v>46273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46273</v>
      </c>
      <c r="F365" t="inlineStr">
        <is>
          <t>JÖNKÖPINGS LÄN</t>
        </is>
      </c>
      <c r="G365" t="inlineStr">
        <is>
          <t>VÄRNAMO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46273</v>
      </c>
      <c r="F366" t="inlineStr">
        <is>
          <t>JÖNKÖPINGS LÄN</t>
        </is>
      </c>
      <c r="G366" t="inlineStr">
        <is>
          <t>VÄRNAMO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46273</v>
      </c>
      <c r="F367" t="inlineStr">
        <is>
          <t>JÖNKÖPINGS LÄN</t>
        </is>
      </c>
      <c r="G367" t="inlineStr">
        <is>
          <t>VÄRNAMO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46273</v>
      </c>
      <c r="F368" t="inlineStr">
        <is>
          <t>JÖNKÖPINGS LÄN</t>
        </is>
      </c>
      <c r="G368" t="inlineStr">
        <is>
          <t>VÄRNAMO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11210-2024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45371</v>
      </c>
      <c r="E369" s="1" t="n">
        <v>46273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46273</v>
      </c>
      <c r="F370" t="inlineStr">
        <is>
          <t>JÖNKÖPINGS LÄN</t>
        </is>
      </c>
      <c r="G370" t="inlineStr">
        <is>
          <t>VÄRNAMO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46273</v>
      </c>
      <c r="F371" t="inlineStr">
        <is>
          <t>JÖNKÖPINGS LÄN</t>
        </is>
      </c>
      <c r="G371" t="inlineStr">
        <is>
          <t>VÄRNAMO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46273</v>
      </c>
      <c r="F372" t="inlineStr">
        <is>
          <t>JÖNKÖPINGS LÄN</t>
        </is>
      </c>
      <c r="G372" t="inlineStr">
        <is>
          <t>VÄRNAMO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61108-2024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46273</v>
      </c>
      <c r="F373" t="inlineStr">
        <is>
          <t>JÖNKÖPINGS LÄN</t>
        </is>
      </c>
      <c r="G373" t="inlineStr">
        <is>
          <t>VÄRNAMO</t>
        </is>
      </c>
      <c r="I373" t="n">
        <v>13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46273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45684</v>
      </c>
      <c r="E375" s="1" t="n">
        <v>46273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46038</v>
      </c>
      <c r="E376" s="1" t="n">
        <v>46273</v>
      </c>
      <c r="F376" t="inlineStr">
        <is>
          <t>JÖNKÖPINGS LÄN</t>
        </is>
      </c>
      <c r="G376" t="inlineStr">
        <is>
          <t>VÄRNAMO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46273</v>
      </c>
      <c r="F377" t="inlineStr">
        <is>
          <t>JÖNKÖPINGS LÄN</t>
        </is>
      </c>
      <c r="G377" t="inlineStr">
        <is>
          <t>VÄRNAMO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45372</v>
      </c>
      <c r="E378" s="1" t="n">
        <v>46273</v>
      </c>
      <c r="F378" t="inlineStr">
        <is>
          <t>JÖNKÖPINGS LÄN</t>
        </is>
      </c>
      <c r="G378" t="inlineStr">
        <is>
          <t>VÄRNAMO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46273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46273</v>
      </c>
      <c r="F380" t="inlineStr">
        <is>
          <t>JÖNKÖPINGS LÄN</t>
        </is>
      </c>
      <c r="G380" t="inlineStr">
        <is>
          <t>VÄRNAMO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46273</v>
      </c>
      <c r="F381" t="inlineStr">
        <is>
          <t>JÖNKÖPINGS LÄN</t>
        </is>
      </c>
      <c r="G381" t="inlineStr">
        <is>
          <t>VÄRNAMO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45044</v>
      </c>
      <c r="E382" s="1" t="n">
        <v>46273</v>
      </c>
      <c r="F382" t="inlineStr">
        <is>
          <t>JÖNKÖPINGS LÄN</t>
        </is>
      </c>
      <c r="G382" t="inlineStr">
        <is>
          <t>VÄRNAMO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7727-2022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44608</v>
      </c>
      <c r="E383" s="1" t="n">
        <v>46273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46273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46273</v>
      </c>
      <c r="F385" t="inlineStr">
        <is>
          <t>JÖNKÖPINGS LÄN</t>
        </is>
      </c>
      <c r="G385" t="inlineStr">
        <is>
          <t>VÄRNAMO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46273</v>
      </c>
      <c r="F386" t="inlineStr">
        <is>
          <t>JÖNKÖPINGS LÄN</t>
        </is>
      </c>
      <c r="G386" t="inlineStr">
        <is>
          <t>VÄRNAMO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46273</v>
      </c>
      <c r="F387" t="inlineStr">
        <is>
          <t>JÖNKÖPINGS LÄN</t>
        </is>
      </c>
      <c r="G387" t="inlineStr">
        <is>
          <t>VÄRNAMO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46273</v>
      </c>
      <c r="F388" t="inlineStr">
        <is>
          <t>JÖNKÖPINGS LÄN</t>
        </is>
      </c>
      <c r="G388" t="inlineStr">
        <is>
          <t>VÄRNAMO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46273</v>
      </c>
      <c r="F389" t="inlineStr">
        <is>
          <t>JÖNKÖPINGS LÄN</t>
        </is>
      </c>
      <c r="G389" t="inlineStr">
        <is>
          <t>VÄRNAMO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46050</v>
      </c>
      <c r="E390" s="1" t="n">
        <v>46273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46273</v>
      </c>
      <c r="F391" t="inlineStr">
        <is>
          <t>JÖNKÖPINGS LÄN</t>
        </is>
      </c>
      <c r="G391" t="inlineStr">
        <is>
          <t>VÄRNAMO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46273</v>
      </c>
      <c r="F392" t="inlineStr">
        <is>
          <t>JÖNKÖPINGS LÄN</t>
        </is>
      </c>
      <c r="G392" t="inlineStr">
        <is>
          <t>VÄRNAMO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46273</v>
      </c>
      <c r="F393" t="inlineStr">
        <is>
          <t>JÖNKÖPINGS LÄN</t>
        </is>
      </c>
      <c r="G393" t="inlineStr">
        <is>
          <t>VÄRNAMO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44699</v>
      </c>
      <c r="E394" s="1" t="n">
        <v>46273</v>
      </c>
      <c r="F394" t="inlineStr">
        <is>
          <t>JÖNKÖPINGS LÄN</t>
        </is>
      </c>
      <c r="G394" t="inlineStr">
        <is>
          <t>VÄRNAMO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20199-2022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44698</v>
      </c>
      <c r="E395" s="1" t="n">
        <v>46273</v>
      </c>
      <c r="F395" t="inlineStr">
        <is>
          <t>JÖNKÖPINGS LÄN</t>
        </is>
      </c>
      <c r="G395" t="inlineStr">
        <is>
          <t>VÄRNAMO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46273</v>
      </c>
      <c r="F396" t="inlineStr">
        <is>
          <t>JÖNKÖPINGS LÄN</t>
        </is>
      </c>
      <c r="G396" t="inlineStr">
        <is>
          <t>VÄRNAMO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26803-2023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46273</v>
      </c>
      <c r="F397" t="inlineStr">
        <is>
          <t>JÖNKÖPINGS LÄN</t>
        </is>
      </c>
      <c r="G397" t="inlineStr">
        <is>
          <t>VÄRNAMO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41316-2023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46273</v>
      </c>
      <c r="F398" t="inlineStr">
        <is>
          <t>JÖNKÖPINGS LÄN</t>
        </is>
      </c>
      <c r="G398" t="inlineStr">
        <is>
          <t>VÄRNAMO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46273</v>
      </c>
      <c r="F399" t="inlineStr">
        <is>
          <t>JÖNKÖPINGS LÄN</t>
        </is>
      </c>
      <c r="G399" t="inlineStr">
        <is>
          <t>VÄRNAMO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46273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46273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46273</v>
      </c>
      <c r="F402" t="inlineStr">
        <is>
          <t>JÖNKÖPINGS LÄN</t>
        </is>
      </c>
      <c r="G402" t="inlineStr">
        <is>
          <t>VÄRNAMO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46273</v>
      </c>
      <c r="F403" t="inlineStr">
        <is>
          <t>JÖNKÖPINGS LÄN</t>
        </is>
      </c>
      <c r="G403" t="inlineStr">
        <is>
          <t>VÄRNAMO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46273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46273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45188</v>
      </c>
      <c r="E406" s="1" t="n">
        <v>46273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19250-2025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45769</v>
      </c>
      <c r="E407" s="1" t="n">
        <v>46273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45274</v>
      </c>
      <c r="E408" s="1" t="n">
        <v>46273</v>
      </c>
      <c r="F408" t="inlineStr">
        <is>
          <t>JÖNKÖPINGS LÄN</t>
        </is>
      </c>
      <c r="G408" t="inlineStr">
        <is>
          <t>VÄRNAMO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46273</v>
      </c>
      <c r="F409" t="inlineStr">
        <is>
          <t>JÖNKÖPINGS LÄN</t>
        </is>
      </c>
      <c r="G409" t="inlineStr">
        <is>
          <t>VÄRNAMO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46273</v>
      </c>
      <c r="F410" t="inlineStr">
        <is>
          <t>JÖNKÖPINGS LÄN</t>
        </is>
      </c>
      <c r="G410" t="inlineStr">
        <is>
          <t>VÄRNAMO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44678</v>
      </c>
      <c r="E411" s="1" t="n">
        <v>46273</v>
      </c>
      <c r="F411" t="inlineStr">
        <is>
          <t>JÖNKÖPINGS LÄN</t>
        </is>
      </c>
      <c r="G411" t="inlineStr">
        <is>
          <t>VÄRNAMO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46273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45444-2023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45194</v>
      </c>
      <c r="E413" s="1" t="n">
        <v>46273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46273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46273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45688</v>
      </c>
      <c r="E416" s="1" t="n">
        <v>46273</v>
      </c>
      <c r="F416" t="inlineStr">
        <is>
          <t>JÖNKÖPINGS LÄN</t>
        </is>
      </c>
      <c r="G416" t="inlineStr">
        <is>
          <t>VÄRNAMO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9972-2026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46273</v>
      </c>
      <c r="F417" t="inlineStr">
        <is>
          <t>JÖNKÖPINGS LÄN</t>
        </is>
      </c>
      <c r="G417" t="inlineStr">
        <is>
          <t>VÄRNAMO</t>
        </is>
      </c>
      <c r="H417" t="inlineStr">
        <is>
          <t>Sveaskog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46273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46273</v>
      </c>
      <c r="F419" t="inlineStr">
        <is>
          <t>JÖNKÖPINGS LÄN</t>
        </is>
      </c>
      <c r="G419" t="inlineStr">
        <is>
          <t>VÄRNAMO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46273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46273</v>
      </c>
      <c r="F421" t="inlineStr">
        <is>
          <t>JÖNKÖPINGS LÄN</t>
        </is>
      </c>
      <c r="G421" t="inlineStr">
        <is>
          <t>VÄRNAMO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46073</v>
      </c>
      <c r="E422" s="1" t="n">
        <v>46273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9983-2026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46273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46273</v>
      </c>
      <c r="F424" t="inlineStr">
        <is>
          <t>JÖNKÖPINGS LÄN</t>
        </is>
      </c>
      <c r="G424" t="inlineStr">
        <is>
          <t>VÄRNAMO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46273</v>
      </c>
      <c r="F425" t="inlineStr">
        <is>
          <t>JÖNKÖPINGS LÄN</t>
        </is>
      </c>
      <c r="G425" t="inlineStr">
        <is>
          <t>VÄRNAMO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11015-2026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46273</v>
      </c>
      <c r="F426" t="inlineStr">
        <is>
          <t>JÖNKÖPINGS LÄN</t>
        </is>
      </c>
      <c r="G426" t="inlineStr">
        <is>
          <t>VÄRNAMO</t>
        </is>
      </c>
      <c r="H426" t="inlineStr">
        <is>
          <t>Kommuner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46273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46940-2022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44851</v>
      </c>
      <c r="E428" s="1" t="n">
        <v>46273</v>
      </c>
      <c r="F428" t="inlineStr">
        <is>
          <t>JÖNKÖPINGS LÄN</t>
        </is>
      </c>
      <c r="G428" t="inlineStr">
        <is>
          <t>VÄRNAMO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46273</v>
      </c>
      <c r="F429" t="inlineStr">
        <is>
          <t>JÖNKÖPINGS LÄN</t>
        </is>
      </c>
      <c r="G429" t="inlineStr">
        <is>
          <t>VÄRNAMO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46080</v>
      </c>
      <c r="E430" s="1" t="n">
        <v>46273</v>
      </c>
      <c r="F430" t="inlineStr">
        <is>
          <t>JÖNKÖPINGS LÄN</t>
        </is>
      </c>
      <c r="G430" t="inlineStr">
        <is>
          <t>VÄRNAMO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46273</v>
      </c>
      <c r="F431" t="inlineStr">
        <is>
          <t>JÖNKÖPINGS LÄN</t>
        </is>
      </c>
      <c r="G431" t="inlineStr">
        <is>
          <t>VÄRNAMO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46273</v>
      </c>
      <c r="F432" t="inlineStr">
        <is>
          <t>JÖNKÖPINGS LÄN</t>
        </is>
      </c>
      <c r="G432" t="inlineStr">
        <is>
          <t>VÄRNAMO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46273</v>
      </c>
      <c r="F433" t="inlineStr">
        <is>
          <t>JÖNKÖPINGS LÄN</t>
        </is>
      </c>
      <c r="G433" t="inlineStr">
        <is>
          <t>VÄRNAMO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46273</v>
      </c>
      <c r="F434" t="inlineStr">
        <is>
          <t>JÖNKÖPINGS LÄN</t>
        </is>
      </c>
      <c r="G434" t="inlineStr">
        <is>
          <t>VÄRNAMO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46273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46273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12095-2026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46086</v>
      </c>
      <c r="E437" s="1" t="n">
        <v>46273</v>
      </c>
      <c r="F437" t="inlineStr">
        <is>
          <t>JÖNKÖPINGS LÄN</t>
        </is>
      </c>
      <c r="G437" t="inlineStr">
        <is>
          <t>VÄRNAMO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25102-2022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44729</v>
      </c>
      <c r="E438" s="1" t="n">
        <v>46273</v>
      </c>
      <c r="F438" t="inlineStr">
        <is>
          <t>JÖNKÖPINGS LÄN</t>
        </is>
      </c>
      <c r="G438" t="inlineStr">
        <is>
          <t>VÄRNAMO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46273</v>
      </c>
      <c r="F439" t="inlineStr">
        <is>
          <t>JÖNKÖPINGS LÄN</t>
        </is>
      </c>
      <c r="G439" t="inlineStr">
        <is>
          <t>VÄRNAMO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44686</v>
      </c>
      <c r="E440" s="1" t="n">
        <v>46273</v>
      </c>
      <c r="F440" t="inlineStr">
        <is>
          <t>JÖNKÖPINGS LÄN</t>
        </is>
      </c>
      <c r="G440" t="inlineStr">
        <is>
          <t>VÄRNAMO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46273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60037-2022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44909</v>
      </c>
      <c r="E442" s="1" t="n">
        <v>46273</v>
      </c>
      <c r="F442" t="inlineStr">
        <is>
          <t>JÖNKÖPINGS LÄN</t>
        </is>
      </c>
      <c r="G442" t="inlineStr">
        <is>
          <t>VÄRNAMO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46273</v>
      </c>
      <c r="F443" t="inlineStr">
        <is>
          <t>JÖNKÖPINGS LÄN</t>
        </is>
      </c>
      <c r="G443" t="inlineStr">
        <is>
          <t>VÄRNAMO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46273</v>
      </c>
      <c r="F444" t="inlineStr">
        <is>
          <t>JÖNKÖPINGS LÄN</t>
        </is>
      </c>
      <c r="G444" t="inlineStr">
        <is>
          <t>VÄRNAMO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46273</v>
      </c>
      <c r="F445" t="inlineStr">
        <is>
          <t>JÖNKÖPINGS LÄN</t>
        </is>
      </c>
      <c r="G445" t="inlineStr">
        <is>
          <t>VÄRNAMO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45265</v>
      </c>
      <c r="E446" s="1" t="n">
        <v>46273</v>
      </c>
      <c r="F446" t="inlineStr">
        <is>
          <t>JÖNKÖPINGS LÄN</t>
        </is>
      </c>
      <c r="G446" t="inlineStr">
        <is>
          <t>VÄRNAMO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46273</v>
      </c>
      <c r="F447" t="inlineStr">
        <is>
          <t>JÖNKÖPINGS LÄN</t>
        </is>
      </c>
      <c r="G447" t="inlineStr">
        <is>
          <t>VÄRNAMO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46273</v>
      </c>
      <c r="F448" t="inlineStr">
        <is>
          <t>JÖNKÖPINGS LÄN</t>
        </is>
      </c>
      <c r="G448" t="inlineStr">
        <is>
          <t>VÄRNAMO</t>
        </is>
      </c>
      <c r="H448" t="inlineStr">
        <is>
          <t>Kommuner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45320</v>
      </c>
      <c r="E449" s="1" t="n">
        <v>46273</v>
      </c>
      <c r="F449" t="inlineStr">
        <is>
          <t>JÖNKÖPINGS LÄN</t>
        </is>
      </c>
      <c r="G449" t="inlineStr">
        <is>
          <t>VÄRNAMO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46273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46273</v>
      </c>
      <c r="F451" t="inlineStr">
        <is>
          <t>JÖNKÖPINGS LÄN</t>
        </is>
      </c>
      <c r="G451" t="inlineStr">
        <is>
          <t>VÄRNAMO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48697-2022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44859</v>
      </c>
      <c r="E452" s="1" t="n">
        <v>46273</v>
      </c>
      <c r="F452" t="inlineStr">
        <is>
          <t>JÖNKÖPINGS LÄN</t>
        </is>
      </c>
      <c r="G452" t="inlineStr">
        <is>
          <t>VÄRNAMO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46273</v>
      </c>
      <c r="F453" t="inlineStr">
        <is>
          <t>JÖNKÖPINGS LÄN</t>
        </is>
      </c>
      <c r="G453" t="inlineStr">
        <is>
          <t>VÄRNAMO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46273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63656-2023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45275</v>
      </c>
      <c r="E455" s="1" t="n">
        <v>46273</v>
      </c>
      <c r="F455" t="inlineStr">
        <is>
          <t>JÖNKÖPINGS LÄN</t>
        </is>
      </c>
      <c r="G455" t="inlineStr">
        <is>
          <t>VÄRNAMO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45763</v>
      </c>
      <c r="E456" s="1" t="n">
        <v>46273</v>
      </c>
      <c r="F456" t="inlineStr">
        <is>
          <t>JÖNKÖPINGS LÄN</t>
        </is>
      </c>
      <c r="G456" t="inlineStr">
        <is>
          <t>VÄRNAMO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64002-2023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45278</v>
      </c>
      <c r="E457" s="1" t="n">
        <v>46273</v>
      </c>
      <c r="F457" t="inlineStr">
        <is>
          <t>JÖNKÖPINGS LÄN</t>
        </is>
      </c>
      <c r="G457" t="inlineStr">
        <is>
          <t>VÄRNAMO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64048-2023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45279</v>
      </c>
      <c r="E458" s="1" t="n">
        <v>46273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39965-2022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44820</v>
      </c>
      <c r="E459" s="1" t="n">
        <v>46273</v>
      </c>
      <c r="F459" t="inlineStr">
        <is>
          <t>JÖNKÖPINGS LÄN</t>
        </is>
      </c>
      <c r="G459" t="inlineStr">
        <is>
          <t>VÄRNAMO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46265</v>
      </c>
      <c r="E460" s="1" t="n">
        <v>46273</v>
      </c>
      <c r="F460" t="inlineStr">
        <is>
          <t>JÖNKÖPINGS LÄN</t>
        </is>
      </c>
      <c r="G460" t="inlineStr">
        <is>
          <t>VÄRNAMO</t>
        </is>
      </c>
      <c r="H460" t="inlineStr">
        <is>
          <t>Kommuner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45509</v>
      </c>
      <c r="E461" s="1" t="n">
        <v>46273</v>
      </c>
      <c r="F461" t="inlineStr">
        <is>
          <t>JÖNKÖPINGS LÄN</t>
        </is>
      </c>
      <c r="G461" t="inlineStr">
        <is>
          <t>VÄRNAMO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46273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46273</v>
      </c>
      <c r="F463" t="inlineStr">
        <is>
          <t>JÖNKÖPINGS LÄN</t>
        </is>
      </c>
      <c r="G463" t="inlineStr">
        <is>
          <t>VÄRNAMO</t>
        </is>
      </c>
      <c r="H463" t="inlineStr">
        <is>
          <t>Kommuner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15101-2026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46101</v>
      </c>
      <c r="E464" s="1" t="n">
        <v>46273</v>
      </c>
      <c r="F464" t="inlineStr">
        <is>
          <t>JÖNKÖPINGS LÄN</t>
        </is>
      </c>
      <c r="G464" t="inlineStr">
        <is>
          <t>VÄRNAMO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46273</v>
      </c>
      <c r="F465" t="inlineStr">
        <is>
          <t>JÖNKÖPINGS LÄN</t>
        </is>
      </c>
      <c r="G465" t="inlineStr">
        <is>
          <t>VÄRNAMO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46273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45728</v>
      </c>
      <c r="E467" s="1" t="n">
        <v>46273</v>
      </c>
      <c r="F467" t="inlineStr">
        <is>
          <t>JÖNKÖPINGS LÄN</t>
        </is>
      </c>
      <c r="G467" t="inlineStr">
        <is>
          <t>VÄRNAMO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45701</v>
      </c>
      <c r="E468" s="1" t="n">
        <v>46273</v>
      </c>
      <c r="F468" t="inlineStr">
        <is>
          <t>JÖNKÖPINGS LÄN</t>
        </is>
      </c>
      <c r="G468" t="inlineStr">
        <is>
          <t>VÄRNAMO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1246-2024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45302</v>
      </c>
      <c r="E469" s="1" t="n">
        <v>46273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44936</v>
      </c>
      <c r="E470" s="1" t="n">
        <v>46273</v>
      </c>
      <c r="F470" t="inlineStr">
        <is>
          <t>JÖNKÖPINGS LÄN</t>
        </is>
      </c>
      <c r="G470" t="inlineStr">
        <is>
          <t>VÄRNAMO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53533-2023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45223</v>
      </c>
      <c r="E471" s="1" t="n">
        <v>46273</v>
      </c>
      <c r="F471" t="inlineStr">
        <is>
          <t>JÖNKÖPINGS LÄN</t>
        </is>
      </c>
      <c r="G471" t="inlineStr">
        <is>
          <t>VÄRNAMO</t>
        </is>
      </c>
      <c r="H471" t="inlineStr">
        <is>
          <t>Kyrkan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46273</v>
      </c>
      <c r="F472" t="inlineStr">
        <is>
          <t>JÖNKÖPINGS LÄN</t>
        </is>
      </c>
      <c r="G472" t="inlineStr">
        <is>
          <t>VÄRNAMO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46273</v>
      </c>
      <c r="F473" t="inlineStr">
        <is>
          <t>JÖNKÖPINGS LÄN</t>
        </is>
      </c>
      <c r="G473" t="inlineStr">
        <is>
          <t>VÄRNAMO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46273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46273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45308</v>
      </c>
      <c r="E476" s="1" t="n">
        <v>46273</v>
      </c>
      <c r="F476" t="inlineStr">
        <is>
          <t>JÖNKÖPINGS LÄN</t>
        </is>
      </c>
      <c r="G476" t="inlineStr">
        <is>
          <t>VÄRNAMO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46273</v>
      </c>
      <c r="F477" t="inlineStr">
        <is>
          <t>JÖNKÖPINGS LÄN</t>
        </is>
      </c>
      <c r="G477" t="inlineStr">
        <is>
          <t>VÄRNAMO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36259-2026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46268</v>
      </c>
      <c r="E478" s="1" t="n">
        <v>46273</v>
      </c>
      <c r="F478" t="inlineStr">
        <is>
          <t>JÖNKÖPINGS LÄN</t>
        </is>
      </c>
      <c r="G478" t="inlineStr">
        <is>
          <t>VÄRNAMO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44993</v>
      </c>
      <c r="E479" s="1" t="n">
        <v>46273</v>
      </c>
      <c r="F479" t="inlineStr">
        <is>
          <t>JÖNKÖPINGS LÄN</t>
        </is>
      </c>
      <c r="G479" t="inlineStr">
        <is>
          <t>VÄRNAMO</t>
        </is>
      </c>
      <c r="H479" t="inlineStr">
        <is>
          <t>Kommuner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45590</v>
      </c>
      <c r="E480" s="1" t="n">
        <v>46273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14536-2024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45394</v>
      </c>
      <c r="E481" s="1" t="n">
        <v>46273</v>
      </c>
      <c r="F481" t="inlineStr">
        <is>
          <t>JÖNKÖPINGS LÄN</t>
        </is>
      </c>
      <c r="G481" t="inlineStr">
        <is>
          <t>VÄRNAMO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46273</v>
      </c>
      <c r="F482" t="inlineStr">
        <is>
          <t>JÖNKÖPINGS LÄN</t>
        </is>
      </c>
      <c r="G482" t="inlineStr">
        <is>
          <t>VÄRNAMO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46273</v>
      </c>
      <c r="F483" t="inlineStr">
        <is>
          <t>JÖNKÖPINGS LÄN</t>
        </is>
      </c>
      <c r="G483" t="inlineStr">
        <is>
          <t>VÄRNAMO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46273</v>
      </c>
      <c r="F484" t="inlineStr">
        <is>
          <t>JÖNKÖPINGS LÄN</t>
        </is>
      </c>
      <c r="G484" t="inlineStr">
        <is>
          <t>VÄRNAMO</t>
        </is>
      </c>
      <c r="I484" t="n">
        <v>11.7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46230</v>
      </c>
      <c r="E485" s="1" t="n">
        <v>46273</v>
      </c>
      <c r="F485" t="inlineStr">
        <is>
          <t>JÖNKÖPINGS LÄN</t>
        </is>
      </c>
      <c r="G485" t="inlineStr">
        <is>
          <t>VÄRNAMO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46230</v>
      </c>
      <c r="E486" s="1" t="n">
        <v>46273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46269</v>
      </c>
      <c r="E487" s="1" t="n">
        <v>46273</v>
      </c>
      <c r="F487" t="inlineStr">
        <is>
          <t>JÖNKÖPINGS LÄN</t>
        </is>
      </c>
      <c r="G487" t="inlineStr">
        <is>
          <t>VÄRNAMO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44652</v>
      </c>
      <c r="E488" s="1" t="n">
        <v>46273</v>
      </c>
      <c r="F488" t="inlineStr">
        <is>
          <t>JÖNKÖPINGS LÄN</t>
        </is>
      </c>
      <c r="G488" t="inlineStr">
        <is>
          <t>VÄRNAMO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22086-2025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45785</v>
      </c>
      <c r="E489" s="1" t="n">
        <v>46273</v>
      </c>
      <c r="F489" t="inlineStr">
        <is>
          <t>JÖNKÖPINGS LÄN</t>
        </is>
      </c>
      <c r="G489" t="inlineStr">
        <is>
          <t>VÄRNAMO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44840</v>
      </c>
      <c r="E490" s="1" t="n">
        <v>46273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46273</v>
      </c>
      <c r="F491" t="inlineStr">
        <is>
          <t>JÖNKÖPINGS LÄN</t>
        </is>
      </c>
      <c r="G491" t="inlineStr">
        <is>
          <t>VÄRNAMO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9992-2023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44985</v>
      </c>
      <c r="E492" s="1" t="n">
        <v>46273</v>
      </c>
      <c r="F492" t="inlineStr">
        <is>
          <t>JÖNKÖPINGS LÄN</t>
        </is>
      </c>
      <c r="G492" t="inlineStr">
        <is>
          <t>VÄRNAMO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46273</v>
      </c>
      <c r="F493" t="inlineStr">
        <is>
          <t>JÖNKÖPINGS LÄN</t>
        </is>
      </c>
      <c r="G493" t="inlineStr">
        <is>
          <t>VÄRNAMO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44928</v>
      </c>
      <c r="E494" s="1" t="n">
        <v>46273</v>
      </c>
      <c r="F494" t="inlineStr">
        <is>
          <t>JÖNKÖPINGS LÄN</t>
        </is>
      </c>
      <c r="G494" t="inlineStr">
        <is>
          <t>VÄRNAMO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45957</v>
      </c>
      <c r="E495" s="1" t="n">
        <v>46273</v>
      </c>
      <c r="F495" t="inlineStr">
        <is>
          <t>JÖNKÖPINGS LÄN</t>
        </is>
      </c>
      <c r="G495" t="inlineStr">
        <is>
          <t>VÄRNAMO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45566</v>
      </c>
      <c r="E496" s="1" t="n">
        <v>46273</v>
      </c>
      <c r="F496" t="inlineStr">
        <is>
          <t>JÖNKÖPINGS LÄN</t>
        </is>
      </c>
      <c r="G496" t="inlineStr">
        <is>
          <t>VÄRNAMO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46273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51754-2024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45607</v>
      </c>
      <c r="E498" s="1" t="n">
        <v>46273</v>
      </c>
      <c r="F498" t="inlineStr">
        <is>
          <t>JÖNKÖPINGS LÄN</t>
        </is>
      </c>
      <c r="G498" t="inlineStr">
        <is>
          <t>VÄRNAMO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46867-2023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45200</v>
      </c>
      <c r="E499" s="1" t="n">
        <v>46273</v>
      </c>
      <c r="F499" t="inlineStr">
        <is>
          <t>JÖNKÖPINGS LÄN</t>
        </is>
      </c>
      <c r="G499" t="inlineStr">
        <is>
          <t>VÄRNAMO</t>
        </is>
      </c>
      <c r="H499" t="inlineStr">
        <is>
          <t>Övriga Aktiebolag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55606-2024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46273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46273</v>
      </c>
      <c r="F501" t="inlineStr">
        <is>
          <t>JÖNKÖPINGS LÄN</t>
        </is>
      </c>
      <c r="G501" t="inlineStr">
        <is>
          <t>VÄRNAMO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47738-2023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45203</v>
      </c>
      <c r="E502" s="1" t="n">
        <v>46273</v>
      </c>
      <c r="F502" t="inlineStr">
        <is>
          <t>JÖNKÖPINGS LÄN</t>
        </is>
      </c>
      <c r="G502" t="inlineStr">
        <is>
          <t>VÄRNAMO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45036</v>
      </c>
      <c r="E503" s="1" t="n">
        <v>46273</v>
      </c>
      <c r="F503" t="inlineStr">
        <is>
          <t>JÖNKÖPINGS LÄN</t>
        </is>
      </c>
      <c r="G503" t="inlineStr">
        <is>
          <t>VÄRNAMO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61503-2021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44501</v>
      </c>
      <c r="E504" s="1" t="n">
        <v>46273</v>
      </c>
      <c r="F504" t="inlineStr">
        <is>
          <t>JÖNKÖPINGS LÄN</t>
        </is>
      </c>
      <c r="G504" t="inlineStr">
        <is>
          <t>VÄRNAMO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62276-2023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45267</v>
      </c>
      <c r="E505" s="1" t="n">
        <v>46273</v>
      </c>
      <c r="F505" t="inlineStr">
        <is>
          <t>JÖNKÖPINGS LÄN</t>
        </is>
      </c>
      <c r="G505" t="inlineStr">
        <is>
          <t>VÄRNAMO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45818-2022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44846</v>
      </c>
      <c r="E506" s="1" t="n">
        <v>46273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18600-2023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45043</v>
      </c>
      <c r="E507" s="1" t="n">
        <v>46273</v>
      </c>
      <c r="F507" t="inlineStr">
        <is>
          <t>JÖNKÖPINGS LÄN</t>
        </is>
      </c>
      <c r="G507" t="inlineStr">
        <is>
          <t>VÄRNAMO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9305-2022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44616</v>
      </c>
      <c r="E508" s="1" t="n">
        <v>46273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45245</v>
      </c>
      <c r="E509" s="1" t="n">
        <v>46273</v>
      </c>
      <c r="F509" t="inlineStr">
        <is>
          <t>JÖNKÖPINGS LÄN</t>
        </is>
      </c>
      <c r="G509" t="inlineStr">
        <is>
          <t>VÄRNAMO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57371-2023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45245</v>
      </c>
      <c r="E510" s="1" t="n">
        <v>46273</v>
      </c>
      <c r="F510" t="inlineStr">
        <is>
          <t>JÖNKÖPINGS LÄN</t>
        </is>
      </c>
      <c r="G510" t="inlineStr">
        <is>
          <t>VÄRNAMO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45221</v>
      </c>
      <c r="E511" s="1" t="n">
        <v>46273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7430-2023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44971</v>
      </c>
      <c r="E512" s="1" t="n">
        <v>46273</v>
      </c>
      <c r="F512" t="inlineStr">
        <is>
          <t>JÖNKÖPINGS LÄN</t>
        </is>
      </c>
      <c r="G512" t="inlineStr">
        <is>
          <t>VÄRNAMO</t>
        </is>
      </c>
      <c r="H512" t="inlineStr">
        <is>
          <t>Kommuner</t>
        </is>
      </c>
      <c r="I512" t="n">
        <v>12.9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45474</v>
      </c>
      <c r="E513" s="1" t="n">
        <v>46273</v>
      </c>
      <c r="F513" t="inlineStr">
        <is>
          <t>JÖNKÖPINGS LÄN</t>
        </is>
      </c>
      <c r="G513" t="inlineStr">
        <is>
          <t>VÄRNAMO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46273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46273</v>
      </c>
      <c r="F515" t="inlineStr">
        <is>
          <t>JÖNKÖPINGS LÄN</t>
        </is>
      </c>
      <c r="G515" t="inlineStr">
        <is>
          <t>VÄRNAMO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46273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44577</v>
      </c>
      <c r="E517" s="1" t="n">
        <v>46273</v>
      </c>
      <c r="F517" t="inlineStr">
        <is>
          <t>JÖNKÖPINGS LÄN</t>
        </is>
      </c>
      <c r="G517" t="inlineStr">
        <is>
          <t>VÄRNAMO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46273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46273</v>
      </c>
      <c r="F519" t="inlineStr">
        <is>
          <t>JÖNKÖPINGS LÄN</t>
        </is>
      </c>
      <c r="G519" t="inlineStr">
        <is>
          <t>VÄRNAMO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41460-2023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46273</v>
      </c>
      <c r="F520" t="inlineStr">
        <is>
          <t>JÖNKÖPINGS LÄN</t>
        </is>
      </c>
      <c r="G520" t="inlineStr">
        <is>
          <t>VÄRNAMO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45112</v>
      </c>
      <c r="E521" s="1" t="n">
        <v>46273</v>
      </c>
      <c r="F521" t="inlineStr">
        <is>
          <t>JÖNKÖPINGS LÄN</t>
        </is>
      </c>
      <c r="G521" t="inlineStr">
        <is>
          <t>VÄRNAMO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46273</v>
      </c>
      <c r="F522" t="inlineStr">
        <is>
          <t>JÖNKÖPINGS LÄN</t>
        </is>
      </c>
      <c r="G522" t="inlineStr">
        <is>
          <t>VÄRNAMO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45386</v>
      </c>
      <c r="E523" s="1" t="n">
        <v>46273</v>
      </c>
      <c r="F523" t="inlineStr">
        <is>
          <t>JÖNKÖPINGS LÄN</t>
        </is>
      </c>
      <c r="G523" t="inlineStr">
        <is>
          <t>VÄRNAMO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8913-2024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45357</v>
      </c>
      <c r="E524" s="1" t="n">
        <v>46273</v>
      </c>
      <c r="F524" t="inlineStr">
        <is>
          <t>JÖNKÖPINGS LÄN</t>
        </is>
      </c>
      <c r="G524" t="inlineStr">
        <is>
          <t>VÄRNAMO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42366-2024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45563</v>
      </c>
      <c r="E525" s="1" t="n">
        <v>46273</v>
      </c>
      <c r="F525" t="inlineStr">
        <is>
          <t>JÖNKÖPINGS LÄN</t>
        </is>
      </c>
      <c r="G525" t="inlineStr">
        <is>
          <t>VÄRNAMO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15248-2024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45400</v>
      </c>
      <c r="E526" s="1" t="n">
        <v>46273</v>
      </c>
      <c r="F526" t="inlineStr">
        <is>
          <t>JÖNKÖPINGS LÄN</t>
        </is>
      </c>
      <c r="G526" t="inlineStr">
        <is>
          <t>VÄRNAMO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60097-2024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45642</v>
      </c>
      <c r="E527" s="1" t="n">
        <v>46273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45078</v>
      </c>
      <c r="E528" s="1" t="n">
        <v>46273</v>
      </c>
      <c r="F528" t="inlineStr">
        <is>
          <t>JÖNKÖPINGS LÄN</t>
        </is>
      </c>
      <c r="G528" t="inlineStr">
        <is>
          <t>VÄRNAMO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46273</v>
      </c>
      <c r="F529" t="inlineStr">
        <is>
          <t>JÖNKÖPINGS LÄN</t>
        </is>
      </c>
      <c r="G529" t="inlineStr">
        <is>
          <t>VÄRNAMO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45009</v>
      </c>
      <c r="E530" s="1" t="n">
        <v>46273</v>
      </c>
      <c r="F530" t="inlineStr">
        <is>
          <t>JÖNKÖPINGS LÄN</t>
        </is>
      </c>
      <c r="G530" t="inlineStr">
        <is>
          <t>VÄRNAMO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46273</v>
      </c>
      <c r="F531" t="inlineStr">
        <is>
          <t>JÖNKÖPINGS LÄN</t>
        </is>
      </c>
      <c r="G531" t="inlineStr">
        <is>
          <t>VÄRNAMO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29089-2023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45105</v>
      </c>
      <c r="E532" s="1" t="n">
        <v>46273</v>
      </c>
      <c r="F532" t="inlineStr">
        <is>
          <t>JÖNKÖPINGS LÄN</t>
        </is>
      </c>
      <c r="G532" t="inlineStr">
        <is>
          <t>VÄRNAMO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45105</v>
      </c>
      <c r="E533" s="1" t="n">
        <v>46273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29166-2023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45105</v>
      </c>
      <c r="E534" s="1" t="n">
        <v>46273</v>
      </c>
      <c r="F534" t="inlineStr">
        <is>
          <t>JÖNKÖPINGS LÄN</t>
        </is>
      </c>
      <c r="G534" t="inlineStr">
        <is>
          <t>VÄRNAMO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24703-2022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44727</v>
      </c>
      <c r="E535" s="1" t="n">
        <v>46273</v>
      </c>
      <c r="F535" t="inlineStr">
        <is>
          <t>JÖNKÖPINGS LÄN</t>
        </is>
      </c>
      <c r="G535" t="inlineStr">
        <is>
          <t>VÄRNAMO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45678</v>
      </c>
      <c r="E536" s="1" t="n">
        <v>46273</v>
      </c>
      <c r="F536" t="inlineStr">
        <is>
          <t>JÖNKÖPINGS LÄN</t>
        </is>
      </c>
      <c r="G536" t="inlineStr">
        <is>
          <t>VÄRNAMO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38484-2023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45162</v>
      </c>
      <c r="E537" s="1" t="n">
        <v>46273</v>
      </c>
      <c r="F537" t="inlineStr">
        <is>
          <t>JÖNKÖPINGS LÄN</t>
        </is>
      </c>
      <c r="G537" t="inlineStr">
        <is>
          <t>VÄRNAMO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12306-2023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44998</v>
      </c>
      <c r="E538" s="1" t="n">
        <v>46273</v>
      </c>
      <c r="F538" t="inlineStr">
        <is>
          <t>JÖNKÖPINGS LÄN</t>
        </is>
      </c>
      <c r="G538" t="inlineStr">
        <is>
          <t>VÄRNAMO</t>
        </is>
      </c>
      <c r="I538" t="n">
        <v>10.4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29162-2023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45105</v>
      </c>
      <c r="E539" s="1" t="n">
        <v>46273</v>
      </c>
      <c r="F539" t="inlineStr">
        <is>
          <t>JÖNKÖPINGS LÄN</t>
        </is>
      </c>
      <c r="G539" t="inlineStr">
        <is>
          <t>VÄRNAMO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29168-2023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45105</v>
      </c>
      <c r="E540" s="1" t="n">
        <v>46273</v>
      </c>
      <c r="F540" t="inlineStr">
        <is>
          <t>JÖNKÖPINGS LÄN</t>
        </is>
      </c>
      <c r="G540" t="inlineStr">
        <is>
          <t>VÄRNAMO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45200</v>
      </c>
      <c r="E541" s="1" t="n">
        <v>46273</v>
      </c>
      <c r="F541" t="inlineStr">
        <is>
          <t>JÖNKÖPINGS LÄN</t>
        </is>
      </c>
      <c r="G541" t="inlineStr">
        <is>
          <t>VÄRNAMO</t>
        </is>
      </c>
      <c r="H541" t="inlineStr">
        <is>
          <t>Övriga Aktiebolag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20316-2023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45056</v>
      </c>
      <c r="E542" s="1" t="n">
        <v>46273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45371</v>
      </c>
      <c r="E543" s="1" t="n">
        <v>46273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46273</v>
      </c>
      <c r="F544" t="inlineStr">
        <is>
          <t>JÖNKÖPINGS LÄN</t>
        </is>
      </c>
      <c r="G544" t="inlineStr">
        <is>
          <t>VÄRNAMO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38664-2024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46273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54477-2022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44882</v>
      </c>
      <c r="E546" s="1" t="n">
        <v>46273</v>
      </c>
      <c r="F546" t="inlineStr">
        <is>
          <t>JÖNKÖPINGS LÄN</t>
        </is>
      </c>
      <c r="G546" t="inlineStr">
        <is>
          <t>VÄRNAMO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46273</v>
      </c>
      <c r="F547" t="inlineStr">
        <is>
          <t>JÖNKÖPINGS LÄN</t>
        </is>
      </c>
      <c r="G547" t="inlineStr">
        <is>
          <t>VÄRNAMO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45505</v>
      </c>
      <c r="E548" s="1" t="n">
        <v>46273</v>
      </c>
      <c r="F548" t="inlineStr">
        <is>
          <t>JÖNKÖPINGS LÄN</t>
        </is>
      </c>
      <c r="G548" t="inlineStr">
        <is>
          <t>VÄRNAMO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39639-2023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45167</v>
      </c>
      <c r="E549" s="1" t="n">
        <v>46273</v>
      </c>
      <c r="F549" t="inlineStr">
        <is>
          <t>JÖNKÖPINGS LÄN</t>
        </is>
      </c>
      <c r="G549" t="inlineStr">
        <is>
          <t>VÄRNAMO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46273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46273</v>
      </c>
      <c r="F551" t="inlineStr">
        <is>
          <t>JÖNKÖPINGS LÄN</t>
        </is>
      </c>
      <c r="G551" t="inlineStr">
        <is>
          <t>VÄRNAMO</t>
        </is>
      </c>
      <c r="H551" t="inlineStr">
        <is>
          <t>Sveaskog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45687</v>
      </c>
      <c r="E552" s="1" t="n">
        <v>46273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29382-2024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45483</v>
      </c>
      <c r="E553" s="1" t="n">
        <v>46273</v>
      </c>
      <c r="F553" t="inlineStr">
        <is>
          <t>JÖNKÖPINGS LÄN</t>
        </is>
      </c>
      <c r="G553" t="inlineStr">
        <is>
          <t>VÄRNAMO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46273</v>
      </c>
      <c r="F554" t="inlineStr">
        <is>
          <t>JÖNKÖPINGS LÄN</t>
        </is>
      </c>
      <c r="G554" t="inlineStr">
        <is>
          <t>VÄRNAMO</t>
        </is>
      </c>
      <c r="H554" t="inlineStr">
        <is>
          <t>Kommuner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45674</v>
      </c>
      <c r="E555" s="1" t="n">
        <v>46273</v>
      </c>
      <c r="F555" t="inlineStr">
        <is>
          <t>JÖNKÖPINGS LÄN</t>
        </is>
      </c>
      <c r="G555" t="inlineStr">
        <is>
          <t>VÄRNAMO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45667</v>
      </c>
      <c r="E556" s="1" t="n">
        <v>46273</v>
      </c>
      <c r="F556" t="inlineStr">
        <is>
          <t>JÖNKÖPINGS LÄN</t>
        </is>
      </c>
      <c r="G556" t="inlineStr">
        <is>
          <t>VÄRNAMO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47822-2023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46273</v>
      </c>
      <c r="F557" t="inlineStr">
        <is>
          <t>JÖNKÖPINGS LÄN</t>
        </is>
      </c>
      <c r="G557" t="inlineStr">
        <is>
          <t>VÄRNAMO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46273</v>
      </c>
      <c r="F558" t="inlineStr">
        <is>
          <t>JÖNKÖPINGS LÄN</t>
        </is>
      </c>
      <c r="G558" t="inlineStr">
        <is>
          <t>VÄRNAMO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45229</v>
      </c>
      <c r="E559" s="1" t="n">
        <v>46273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45358</v>
      </c>
      <c r="E560" s="1" t="n">
        <v>46273</v>
      </c>
      <c r="F560" t="inlineStr">
        <is>
          <t>JÖNKÖPINGS LÄN</t>
        </is>
      </c>
      <c r="G560" t="inlineStr">
        <is>
          <t>VÄRNAMO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45684</v>
      </c>
      <c r="E561" s="1" t="n">
        <v>46273</v>
      </c>
      <c r="F561" t="inlineStr">
        <is>
          <t>JÖNKÖPINGS LÄN</t>
        </is>
      </c>
      <c r="G561" t="inlineStr">
        <is>
          <t>VÄRNAMO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46273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61345-2023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46273</v>
      </c>
      <c r="F563" t="inlineStr">
        <is>
          <t>JÖNKÖPINGS LÄN</t>
        </is>
      </c>
      <c r="G563" t="inlineStr">
        <is>
          <t>VÄRNAMO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45667</v>
      </c>
      <c r="E564" s="1" t="n">
        <v>46273</v>
      </c>
      <c r="F564" t="inlineStr">
        <is>
          <t>JÖNKÖPINGS LÄN</t>
        </is>
      </c>
      <c r="G564" t="inlineStr">
        <is>
          <t>VÄRNAMO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45160</v>
      </c>
      <c r="E565" s="1" t="n">
        <v>46273</v>
      </c>
      <c r="F565" t="inlineStr">
        <is>
          <t>JÖNKÖPINGS LÄN</t>
        </is>
      </c>
      <c r="G565" t="inlineStr">
        <is>
          <t>VÄRNAMO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45777</v>
      </c>
      <c r="E566" s="1" t="n">
        <v>46273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46273</v>
      </c>
      <c r="F567" t="inlineStr">
        <is>
          <t>JÖNKÖPINGS LÄN</t>
        </is>
      </c>
      <c r="G567" t="inlineStr">
        <is>
          <t>VÄRNAMO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46273</v>
      </c>
      <c r="F568" t="inlineStr">
        <is>
          <t>JÖNKÖPINGS LÄN</t>
        </is>
      </c>
      <c r="G568" t="inlineStr">
        <is>
          <t>VÄRNAMO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22220-2024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45445</v>
      </c>
      <c r="E569" s="1" t="n">
        <v>46273</v>
      </c>
      <c r="F569" t="inlineStr">
        <is>
          <t>JÖNKÖPINGS LÄN</t>
        </is>
      </c>
      <c r="G569" t="inlineStr">
        <is>
          <t>VÄRNAMO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38662-2024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46273</v>
      </c>
      <c r="F570" t="inlineStr">
        <is>
          <t>JÖNKÖPINGS LÄN</t>
        </is>
      </c>
      <c r="G570" t="inlineStr">
        <is>
          <t>VÄRNAMO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45468</v>
      </c>
      <c r="E571" s="1" t="n">
        <v>46273</v>
      </c>
      <c r="F571" t="inlineStr">
        <is>
          <t>JÖNKÖPINGS LÄN</t>
        </is>
      </c>
      <c r="G571" t="inlineStr">
        <is>
          <t>VÄRNAMO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46273</v>
      </c>
      <c r="F572" t="inlineStr">
        <is>
          <t>JÖNKÖPINGS LÄN</t>
        </is>
      </c>
      <c r="G572" t="inlineStr">
        <is>
          <t>VÄRNAMO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22994-2025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46273</v>
      </c>
      <c r="F573" t="inlineStr">
        <is>
          <t>JÖNKÖPINGS LÄN</t>
        </is>
      </c>
      <c r="G573" t="inlineStr">
        <is>
          <t>VÄRNAMO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41893-2024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45561</v>
      </c>
      <c r="E574" s="1" t="n">
        <v>46273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46273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45796</v>
      </c>
      <c r="E576" s="1" t="n">
        <v>46273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45792</v>
      </c>
      <c r="E577" s="1" t="n">
        <v>46273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46273</v>
      </c>
      <c r="F578" t="inlineStr">
        <is>
          <t>JÖNKÖPINGS LÄN</t>
        </is>
      </c>
      <c r="G578" t="inlineStr">
        <is>
          <t>VÄRNAMO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46273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46273</v>
      </c>
      <c r="F580" t="inlineStr">
        <is>
          <t>JÖNKÖPINGS LÄN</t>
        </is>
      </c>
      <c r="G580" t="inlineStr">
        <is>
          <t>VÄRNAMO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45750</v>
      </c>
      <c r="E581" s="1" t="n">
        <v>46273</v>
      </c>
      <c r="F581" t="inlineStr">
        <is>
          <t>JÖNKÖPINGS LÄN</t>
        </is>
      </c>
      <c r="G581" t="inlineStr">
        <is>
          <t>VÄRNAMO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25626-2025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46273</v>
      </c>
      <c r="F582" t="inlineStr">
        <is>
          <t>JÖNKÖPINGS LÄN</t>
        </is>
      </c>
      <c r="G582" t="inlineStr">
        <is>
          <t>VÄRNAMO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52146-2024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45608</v>
      </c>
      <c r="E583" s="1" t="n">
        <v>46273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42494-2023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46273</v>
      </c>
      <c r="F584" t="inlineStr">
        <is>
          <t>JÖNKÖPINGS LÄN</t>
        </is>
      </c>
      <c r="G584" t="inlineStr">
        <is>
          <t>VÄRNAMO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46273</v>
      </c>
      <c r="F585" t="inlineStr">
        <is>
          <t>JÖNKÖPINGS LÄN</t>
        </is>
      </c>
      <c r="G585" t="inlineStr">
        <is>
          <t>VÄRNAMO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46273</v>
      </c>
      <c r="F586" t="inlineStr">
        <is>
          <t>JÖNKÖPINGS LÄN</t>
        </is>
      </c>
      <c r="G586" t="inlineStr">
        <is>
          <t>VÄRNAMO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46273</v>
      </c>
      <c r="F587" t="inlineStr">
        <is>
          <t>JÖNKÖPINGS LÄN</t>
        </is>
      </c>
      <c r="G587" t="inlineStr">
        <is>
          <t>VÄRNAMO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28890-2025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45820</v>
      </c>
      <c r="E588" s="1" t="n">
        <v>46273</v>
      </c>
      <c r="F588" t="inlineStr">
        <is>
          <t>JÖNKÖPINGS LÄN</t>
        </is>
      </c>
      <c r="G588" t="inlineStr">
        <is>
          <t>VÄRNAMO</t>
        </is>
      </c>
      <c r="H588" t="inlineStr">
        <is>
          <t>Kyrkan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29683-2025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46273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29685-2025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46273</v>
      </c>
      <c r="F590" t="inlineStr">
        <is>
          <t>JÖNKÖPINGS LÄN</t>
        </is>
      </c>
      <c r="G590" t="inlineStr">
        <is>
          <t>VÄRNAMO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45826</v>
      </c>
      <c r="E591" s="1" t="n">
        <v>46273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30375-2025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45827</v>
      </c>
      <c r="E592" s="1" t="n">
        <v>46273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46273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46273</v>
      </c>
      <c r="F594" t="inlineStr">
        <is>
          <t>JÖNKÖPINGS LÄN</t>
        </is>
      </c>
      <c r="G594" t="inlineStr">
        <is>
          <t>VÄRNAMO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46273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31238-2025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46273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31524-2025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46273</v>
      </c>
      <c r="F597" t="inlineStr">
        <is>
          <t>JÖNKÖPINGS LÄN</t>
        </is>
      </c>
      <c r="G597" t="inlineStr">
        <is>
          <t>VÄRNAMO</t>
        </is>
      </c>
      <c r="I597" t="n">
        <v>10.1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33376-2025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46273</v>
      </c>
      <c r="F598" t="inlineStr">
        <is>
          <t>JÖNKÖPINGS LÄN</t>
        </is>
      </c>
      <c r="G598" t="inlineStr">
        <is>
          <t>VÄRNAMO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33377-2025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46273</v>
      </c>
      <c r="F599" t="inlineStr">
        <is>
          <t>JÖNKÖPINGS LÄN</t>
        </is>
      </c>
      <c r="G599" t="inlineStr">
        <is>
          <t>VÄRNAMO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46273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34245-2025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45845</v>
      </c>
      <c r="E601" s="1" t="n">
        <v>46273</v>
      </c>
      <c r="F601" t="inlineStr">
        <is>
          <t>JÖNKÖPINGS LÄN</t>
        </is>
      </c>
      <c r="G601" t="inlineStr">
        <is>
          <t>VÄRNAMO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46273</v>
      </c>
      <c r="F602" t="inlineStr">
        <is>
          <t>JÖNKÖPINGS LÄN</t>
        </is>
      </c>
      <c r="G602" t="inlineStr">
        <is>
          <t>VÄRNAMO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51351-2024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46273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45853</v>
      </c>
      <c r="E604" s="1" t="n">
        <v>46273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15690-2025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45748</v>
      </c>
      <c r="E605" s="1" t="n">
        <v>46273</v>
      </c>
      <c r="F605" t="inlineStr">
        <is>
          <t>JÖNKÖPINGS LÄN</t>
        </is>
      </c>
      <c r="G605" t="inlineStr">
        <is>
          <t>VÄRNAMO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45802</v>
      </c>
      <c r="E606" s="1" t="n">
        <v>46273</v>
      </c>
      <c r="F606" t="inlineStr">
        <is>
          <t>JÖNKÖPINGS LÄN</t>
        </is>
      </c>
      <c r="G606" t="inlineStr">
        <is>
          <t>VÄRNAMO</t>
        </is>
      </c>
      <c r="H606" t="inlineStr">
        <is>
          <t>Övriga Aktiebolag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45873</v>
      </c>
      <c r="E607" s="1" t="n">
        <v>46273</v>
      </c>
      <c r="F607" t="inlineStr">
        <is>
          <t>JÖNKÖPINGS LÄN</t>
        </is>
      </c>
      <c r="G607" t="inlineStr">
        <is>
          <t>VÄRNAMO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36662-2025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45873</v>
      </c>
      <c r="E608" s="1" t="n">
        <v>46273</v>
      </c>
      <c r="F608" t="inlineStr">
        <is>
          <t>JÖNKÖPINGS LÄN</t>
        </is>
      </c>
      <c r="G608" t="inlineStr">
        <is>
          <t>VÄRNAMO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37353-2025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45876</v>
      </c>
      <c r="E609" s="1" t="n">
        <v>46273</v>
      </c>
      <c r="F609" t="inlineStr">
        <is>
          <t>JÖNKÖPINGS LÄN</t>
        </is>
      </c>
      <c r="G609" t="inlineStr">
        <is>
          <t>VÄRNAMO</t>
        </is>
      </c>
      <c r="I609" t="n">
        <v>14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46273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46273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46273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6462-2021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44449</v>
      </c>
      <c r="E613" s="1" t="n">
        <v>46273</v>
      </c>
      <c r="F613" t="inlineStr">
        <is>
          <t>JÖNKÖPINGS LÄN</t>
        </is>
      </c>
      <c r="G613" t="inlineStr">
        <is>
          <t>VÄRNAMO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46273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46273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46273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46273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46273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46273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46273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46273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46273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46273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46273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46273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7728-2021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44479</v>
      </c>
      <c r="E626" s="1" t="n">
        <v>46273</v>
      </c>
      <c r="F626" t="inlineStr">
        <is>
          <t>JÖNKÖPINGS LÄN</t>
        </is>
      </c>
      <c r="G626" t="inlineStr">
        <is>
          <t>VÄRNAMO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3557-2025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46273</v>
      </c>
      <c r="F627" t="inlineStr">
        <is>
          <t>JÖNKÖPINGS LÄN</t>
        </is>
      </c>
      <c r="G627" t="inlineStr">
        <is>
          <t>VÄRNAMO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46018</v>
      </c>
      <c r="E628" s="1" t="n">
        <v>46273</v>
      </c>
      <c r="F628" t="inlineStr">
        <is>
          <t>JÖNKÖPINGS LÄN</t>
        </is>
      </c>
      <c r="G628" t="inlineStr">
        <is>
          <t>VÄRNAMO</t>
        </is>
      </c>
      <c r="I628" t="n">
        <v>8.699999999999999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249-2026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46050</v>
      </c>
      <c r="E629" s="1" t="n">
        <v>46273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9.800000000000001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239-2026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46052</v>
      </c>
      <c r="E630" s="1" t="n">
        <v>46273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2026-09-08T02:08:42Z</dcterms:created>
  <dcterms:modified xmlns:dcterms="http://purl.org/dc/terms/" xmlns:xsi="http://www.w3.org/2001/XMLSchema-instance" xsi:type="dcterms:W3CDTF">2026-09-08T02:08:43Z</dcterms:modified>
</cp:coreProperties>
</file>