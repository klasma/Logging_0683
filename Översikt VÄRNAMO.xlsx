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46282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46282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46282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46282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46282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46282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46282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46282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46282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46282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46282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46282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46282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46282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46282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46282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46282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46282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46282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46282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46282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46282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46282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46282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10842-2026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46078</v>
      </c>
      <c r="E30" s="1" t="n">
        <v>46282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Klockgentiana</t>
        </is>
      </c>
      <c r="W30">
        <f>HYPERLINK("https://klasma.github.io/Logging_0683/artfynd/A 10842-2026 artfynd.xlsx", "A 10842-2026")</f>
        <v/>
      </c>
      <c r="X30">
        <f>HYPERLINK("https://klasma.github.io/Logging_0683/kartor/A 10842-2026 karta.png", "A 10842-2026")</f>
        <v/>
      </c>
      <c r="Y30">
        <f>HYPERLINK("https://klasma.github.io/Logging_0683/kartor_geotiff/A 10842-2026 georefererad karta.tif", "A 10842-2026")</f>
        <v/>
      </c>
      <c r="AA30">
        <f>HYPERLINK("https://klasma.github.io/Logging_0683/klagomål/A 10842-2026 FSC-klagomål.docx", "A 10842-2026")</f>
        <v/>
      </c>
      <c r="AB30">
        <f>HYPERLINK("https://klasma.github.io/Logging_0683/klagomålsmail/A 10842-2026 FSC-klagomål mail.docx", "A 10842-2026")</f>
        <v/>
      </c>
      <c r="AC30">
        <f>HYPERLINK("https://klasma.github.io/Logging_0683/tillsyn/A 10842-2026 tillsynsbegäran.docx", "A 10842-2026")</f>
        <v/>
      </c>
      <c r="AD30">
        <f>HYPERLINK("https://klasma.github.io/Logging_0683/tillsynsmail/A 10842-2026 tillsynsbegäran mail.docx", "A 10842-2026")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46282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Lönnsavblomfluga</t>
        </is>
      </c>
      <c r="W31">
        <f>HYPERLINK("https://klasma.github.io/Logging_0683/artfynd/A 9042-2025 artfynd.xlsx", "A 9042-2025")</f>
        <v/>
      </c>
      <c r="X31">
        <f>HYPERLINK("https://klasma.github.io/Logging_0683/kartor/A 9042-2025 karta.png", "A 9042-2025")</f>
        <v/>
      </c>
      <c r="Y31">
        <f>HYPERLINK("https://klasma.github.io/Logging_0683/kartor_geotiff/A 9042-2025 georefererad karta.tif", "A 9042-2025")</f>
        <v/>
      </c>
      <c r="AA31">
        <f>HYPERLINK("https://klasma.github.io/Logging_0683/klagomål/A 9042-2025 FSC-klagomål.docx", "A 9042-2025")</f>
        <v/>
      </c>
      <c r="AB31">
        <f>HYPERLINK("https://klasma.github.io/Logging_0683/klagomålsmail/A 9042-2025 FSC-klagomål mail.docx", "A 9042-2025")</f>
        <v/>
      </c>
      <c r="AC31">
        <f>HYPERLINK("https://klasma.github.io/Logging_0683/tillsyn/A 9042-2025 tillsynsbegäran.docx", "A 9042-2025")</f>
        <v/>
      </c>
      <c r="AD31">
        <f>HYPERLINK("https://klasma.github.io/Logging_0683/tillsynsmail/A 9042-2025 tillsynsbegäran mail.docx", "A 9042-2025")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46282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46282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46282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46282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46282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46282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46282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46282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46282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46282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46282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46282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46282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46282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46282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46282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46282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46282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46282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46282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46282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46282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46282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46282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46282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46282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46282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46282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46282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46282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46282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46282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46282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46282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46282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46282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46282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46282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46282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46282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46282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46282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46282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46282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46282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46282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46282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46282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46282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46282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46282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46282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46282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46282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46282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46282</v>
      </c>
      <c r="F87" t="inlineStr">
        <is>
          <t>JÖNKÖPINGS LÄN</t>
        </is>
      </c>
      <c r="G87" t="inlineStr">
        <is>
          <t>VÄRNAMO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46282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46282</v>
      </c>
      <c r="F89" t="inlineStr">
        <is>
          <t>JÖNKÖPINGS LÄN</t>
        </is>
      </c>
      <c r="G89" t="inlineStr">
        <is>
          <t>VÄRNAMO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46282</v>
      </c>
      <c r="F90" t="inlineStr">
        <is>
          <t>JÖNKÖPINGS LÄN</t>
        </is>
      </c>
      <c r="G90" t="inlineStr">
        <is>
          <t>VÄRNAMO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44616</v>
      </c>
      <c r="E91" s="1" t="n">
        <v>46282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46282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46282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46282</v>
      </c>
      <c r="F94" t="inlineStr">
        <is>
          <t>JÖNKÖPINGS LÄN</t>
        </is>
      </c>
      <c r="G94" t="inlineStr">
        <is>
          <t>VÄRNAMO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44678</v>
      </c>
      <c r="E95" s="1" t="n">
        <v>46282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46282</v>
      </c>
      <c r="F96" t="inlineStr">
        <is>
          <t>JÖNKÖPINGS LÄN</t>
        </is>
      </c>
      <c r="G96" t="inlineStr">
        <is>
          <t>VÄRNAMO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24702-2022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44727</v>
      </c>
      <c r="E97" s="1" t="n">
        <v>46282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46282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46282</v>
      </c>
      <c r="F99" t="inlineStr">
        <is>
          <t>JÖNKÖPINGS LÄN</t>
        </is>
      </c>
      <c r="G99" t="inlineStr">
        <is>
          <t>VÄRNAMO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45618</v>
      </c>
      <c r="E100" s="1" t="n">
        <v>46282</v>
      </c>
      <c r="F100" t="inlineStr">
        <is>
          <t>JÖNKÖPINGS LÄN</t>
        </is>
      </c>
      <c r="G100" t="inlineStr">
        <is>
          <t>VÄRNAMO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46282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46282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46282</v>
      </c>
      <c r="F103" t="inlineStr">
        <is>
          <t>JÖNKÖPINGS LÄN</t>
        </is>
      </c>
      <c r="G103" t="inlineStr">
        <is>
          <t>VÄRNAMO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46282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46282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46282</v>
      </c>
      <c r="F106" t="inlineStr">
        <is>
          <t>JÖNKÖPINGS LÄN</t>
        </is>
      </c>
      <c r="G106" t="inlineStr">
        <is>
          <t>VÄRNAMO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46282</v>
      </c>
      <c r="F107" t="inlineStr">
        <is>
          <t>JÖNKÖPINGS LÄN</t>
        </is>
      </c>
      <c r="G107" t="inlineStr">
        <is>
          <t>VÄRNAMO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46282</v>
      </c>
      <c r="F108" t="inlineStr">
        <is>
          <t>JÖNKÖPINGS LÄN</t>
        </is>
      </c>
      <c r="G108" t="inlineStr">
        <is>
          <t>VÄRNAMO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45358</v>
      </c>
      <c r="E109" s="1" t="n">
        <v>46282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44869</v>
      </c>
      <c r="E110" s="1" t="n">
        <v>46282</v>
      </c>
      <c r="F110" t="inlineStr">
        <is>
          <t>JÖNKÖPINGS LÄN</t>
        </is>
      </c>
      <c r="G110" t="inlineStr">
        <is>
          <t>VÄRNAMO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45394</v>
      </c>
      <c r="E111" s="1" t="n">
        <v>46282</v>
      </c>
      <c r="F111" t="inlineStr">
        <is>
          <t>JÖNKÖPINGS LÄN</t>
        </is>
      </c>
      <c r="G111" t="inlineStr">
        <is>
          <t>VÄRNAMO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46282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46282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44929</v>
      </c>
      <c r="E114" s="1" t="n">
        <v>46282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46282</v>
      </c>
      <c r="F115" t="inlineStr">
        <is>
          <t>JÖNKÖPINGS LÄN</t>
        </is>
      </c>
      <c r="G115" t="inlineStr">
        <is>
          <t>VÄRNAMO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46282</v>
      </c>
      <c r="F116" t="inlineStr">
        <is>
          <t>JÖNKÖPINGS LÄN</t>
        </is>
      </c>
      <c r="G116" t="inlineStr">
        <is>
          <t>VÄRNAMO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45772</v>
      </c>
      <c r="E117" s="1" t="n">
        <v>46282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46282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46282</v>
      </c>
      <c r="F119" t="inlineStr">
        <is>
          <t>JÖNKÖPINGS LÄN</t>
        </is>
      </c>
      <c r="G119" t="inlineStr">
        <is>
          <t>VÄRNAMO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46282</v>
      </c>
      <c r="F120" t="inlineStr">
        <is>
          <t>JÖNKÖPINGS LÄN</t>
        </is>
      </c>
      <c r="G120" t="inlineStr">
        <is>
          <t>VÄRNAMO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46282</v>
      </c>
      <c r="F121" t="inlineStr">
        <is>
          <t>JÖNKÖPINGS LÄN</t>
        </is>
      </c>
      <c r="G121" t="inlineStr">
        <is>
          <t>VÄRNAMO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46282</v>
      </c>
      <c r="F122" t="inlineStr">
        <is>
          <t>JÖNKÖPINGS LÄN</t>
        </is>
      </c>
      <c r="G122" t="inlineStr">
        <is>
          <t>VÄRNAMO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46282</v>
      </c>
      <c r="F123" t="inlineStr">
        <is>
          <t>JÖNKÖPINGS LÄN</t>
        </is>
      </c>
      <c r="G123" t="inlineStr">
        <is>
          <t>VÄRNAMO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46282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46282</v>
      </c>
      <c r="F125" t="inlineStr">
        <is>
          <t>JÖNKÖPINGS LÄN</t>
        </is>
      </c>
      <c r="G125" t="inlineStr">
        <is>
          <t>VÄRNAMO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46282</v>
      </c>
      <c r="F126" t="inlineStr">
        <is>
          <t>JÖNKÖPINGS LÄN</t>
        </is>
      </c>
      <c r="G126" t="inlineStr">
        <is>
          <t>VÄRNAMO</t>
        </is>
      </c>
      <c r="H126" t="inlineStr">
        <is>
          <t>Kyrkan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46282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44909</v>
      </c>
      <c r="E128" s="1" t="n">
        <v>46282</v>
      </c>
      <c r="F128" t="inlineStr">
        <is>
          <t>JÖNKÖPINGS LÄN</t>
        </is>
      </c>
      <c r="G128" t="inlineStr">
        <is>
          <t>VÄRNAMO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55493-2022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46282</v>
      </c>
      <c r="F129" t="inlineStr">
        <is>
          <t>JÖNKÖPINGS LÄN</t>
        </is>
      </c>
      <c r="G129" t="inlineStr">
        <is>
          <t>VÄRNAMO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46282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45735</v>
      </c>
      <c r="E131" s="1" t="n">
        <v>46282</v>
      </c>
      <c r="F131" t="inlineStr">
        <is>
          <t>JÖNKÖPINGS LÄN</t>
        </is>
      </c>
      <c r="G131" t="inlineStr">
        <is>
          <t>VÄRNAMO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46282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40847-2024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46282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45761</v>
      </c>
      <c r="E134" s="1" t="n">
        <v>46282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46282</v>
      </c>
      <c r="F135" t="inlineStr">
        <is>
          <t>JÖNKÖPINGS LÄN</t>
        </is>
      </c>
      <c r="G135" t="inlineStr">
        <is>
          <t>VÄRNAMO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46282</v>
      </c>
      <c r="F136" t="inlineStr">
        <is>
          <t>JÖNKÖPINGS LÄN</t>
        </is>
      </c>
      <c r="G136" t="inlineStr">
        <is>
          <t>VÄRNAMO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46282</v>
      </c>
      <c r="F137" t="inlineStr">
        <is>
          <t>JÖNKÖPINGS LÄN</t>
        </is>
      </c>
      <c r="G137" t="inlineStr">
        <is>
          <t>VÄRNAMO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46282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46282</v>
      </c>
      <c r="F139" t="inlineStr">
        <is>
          <t>JÖNKÖPINGS LÄN</t>
        </is>
      </c>
      <c r="G139" t="inlineStr">
        <is>
          <t>VÄRNAMO</t>
        </is>
      </c>
      <c r="H139" t="inlineStr">
        <is>
          <t>Övriga Aktiebolag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45674</v>
      </c>
      <c r="E140" s="1" t="n">
        <v>46282</v>
      </c>
      <c r="F140" t="inlineStr">
        <is>
          <t>JÖNKÖPINGS LÄN</t>
        </is>
      </c>
      <c r="G140" t="inlineStr">
        <is>
          <t>VÄRNAMO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46282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29382-2024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45483</v>
      </c>
      <c r="E142" s="1" t="n">
        <v>46282</v>
      </c>
      <c r="F142" t="inlineStr">
        <is>
          <t>JÖNKÖPINGS LÄN</t>
        </is>
      </c>
      <c r="G142" t="inlineStr">
        <is>
          <t>VÄRNAMO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46282</v>
      </c>
      <c r="F143" t="inlineStr">
        <is>
          <t>JÖNKÖPINGS LÄN</t>
        </is>
      </c>
      <c r="G143" t="inlineStr">
        <is>
          <t>VÄRNAMO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45512</v>
      </c>
      <c r="E144" s="1" t="n">
        <v>46282</v>
      </c>
      <c r="F144" t="inlineStr">
        <is>
          <t>JÖNKÖPINGS LÄN</t>
        </is>
      </c>
      <c r="G144" t="inlineStr">
        <is>
          <t>VÄRNAMO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45803</v>
      </c>
      <c r="E145" s="1" t="n">
        <v>46282</v>
      </c>
      <c r="F145" t="inlineStr">
        <is>
          <t>JÖNKÖPINGS LÄN</t>
        </is>
      </c>
      <c r="G145" t="inlineStr">
        <is>
          <t>VÄRNAMO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46282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46282</v>
      </c>
      <c r="F147" t="inlineStr">
        <is>
          <t>JÖNKÖPINGS LÄN</t>
        </is>
      </c>
      <c r="G147" t="inlineStr">
        <is>
          <t>VÄRNAMO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46029</v>
      </c>
      <c r="E148" s="1" t="n">
        <v>46282</v>
      </c>
      <c r="F148" t="inlineStr">
        <is>
          <t>JÖNKÖPINGS LÄN</t>
        </is>
      </c>
      <c r="G148" t="inlineStr">
        <is>
          <t>VÄRNAMO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45439</v>
      </c>
      <c r="E149" s="1" t="n">
        <v>46282</v>
      </c>
      <c r="F149" t="inlineStr">
        <is>
          <t>JÖNKÖPINGS LÄN</t>
        </is>
      </c>
      <c r="G149" t="inlineStr">
        <is>
          <t>VÄRNAMO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45853</v>
      </c>
      <c r="E150" s="1" t="n">
        <v>46282</v>
      </c>
      <c r="F150" t="inlineStr">
        <is>
          <t>JÖNKÖPINGS LÄN</t>
        </is>
      </c>
      <c r="G150" t="inlineStr">
        <is>
          <t>VÄRNAMO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46282</v>
      </c>
      <c r="F151" t="inlineStr">
        <is>
          <t>JÖNKÖPINGS LÄN</t>
        </is>
      </c>
      <c r="G151" t="inlineStr">
        <is>
          <t>VÄRNAMO</t>
        </is>
      </c>
      <c r="I151" t="n">
        <v>10.4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46282</v>
      </c>
      <c r="F152" t="inlineStr">
        <is>
          <t>JÖNKÖPINGS LÄN</t>
        </is>
      </c>
      <c r="G152" t="inlineStr">
        <is>
          <t>VÄRNAMO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46282</v>
      </c>
      <c r="F153" t="inlineStr">
        <is>
          <t>JÖNKÖPINGS LÄN</t>
        </is>
      </c>
      <c r="G153" t="inlineStr">
        <is>
          <t>VÄRNAMO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46282</v>
      </c>
      <c r="F154" t="inlineStr">
        <is>
          <t>JÖNKÖPINGS LÄN</t>
        </is>
      </c>
      <c r="G154" t="inlineStr">
        <is>
          <t>VÄRNAMO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46282</v>
      </c>
      <c r="F155" t="inlineStr">
        <is>
          <t>JÖNKÖPINGS LÄN</t>
        </is>
      </c>
      <c r="G155" t="inlineStr">
        <is>
          <t>VÄRNAMO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46282</v>
      </c>
      <c r="F156" t="inlineStr">
        <is>
          <t>JÖNKÖPINGS LÄN</t>
        </is>
      </c>
      <c r="G156" t="inlineStr">
        <is>
          <t>VÄRNAMO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46282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46282</v>
      </c>
      <c r="F158" t="inlineStr">
        <is>
          <t>JÖNKÖPINGS LÄN</t>
        </is>
      </c>
      <c r="G158" t="inlineStr">
        <is>
          <t>VÄRNAMO</t>
        </is>
      </c>
      <c r="I158" t="n">
        <v>12.6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46282</v>
      </c>
      <c r="F159" t="inlineStr">
        <is>
          <t>JÖNKÖPINGS LÄN</t>
        </is>
      </c>
      <c r="G159" t="inlineStr">
        <is>
          <t>VÄRNAMO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45608</v>
      </c>
      <c r="E160" s="1" t="n">
        <v>46282</v>
      </c>
      <c r="F160" t="inlineStr">
        <is>
          <t>JÖNKÖPINGS LÄN</t>
        </is>
      </c>
      <c r="G160" t="inlineStr">
        <is>
          <t>VÄRNAMO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45853</v>
      </c>
      <c r="E161" s="1" t="n">
        <v>46282</v>
      </c>
      <c r="F161" t="inlineStr">
        <is>
          <t>JÖNKÖPINGS LÄN</t>
        </is>
      </c>
      <c r="G161" t="inlineStr">
        <is>
          <t>VÄRNAMO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46282</v>
      </c>
      <c r="F162" t="inlineStr">
        <is>
          <t>JÖNKÖPINGS LÄN</t>
        </is>
      </c>
      <c r="G162" t="inlineStr">
        <is>
          <t>VÄRNAMO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22101-2025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45785</v>
      </c>
      <c r="E163" s="1" t="n">
        <v>46282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46282</v>
      </c>
      <c r="F164" t="inlineStr">
        <is>
          <t>JÖNKÖPINGS LÄN</t>
        </is>
      </c>
      <c r="G164" t="inlineStr">
        <is>
          <t>VÄRNAMO</t>
        </is>
      </c>
      <c r="H164" t="inlineStr">
        <is>
          <t>Kommuner</t>
        </is>
      </c>
      <c r="I164" t="n">
        <v>12.9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46282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45649</v>
      </c>
      <c r="E166" s="1" t="n">
        <v>46282</v>
      </c>
      <c r="F166" t="inlineStr">
        <is>
          <t>JÖNKÖPINGS LÄN</t>
        </is>
      </c>
      <c r="G166" t="inlineStr">
        <is>
          <t>VÄRNAMO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46282</v>
      </c>
      <c r="F167" t="inlineStr">
        <is>
          <t>JÖNKÖPINGS LÄN</t>
        </is>
      </c>
      <c r="G167" t="inlineStr">
        <is>
          <t>VÄRNAMO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46282</v>
      </c>
      <c r="F168" t="inlineStr">
        <is>
          <t>JÖNKÖPINGS LÄN</t>
        </is>
      </c>
      <c r="G168" t="inlineStr">
        <is>
          <t>VÄRNAMO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46282</v>
      </c>
      <c r="F169" t="inlineStr">
        <is>
          <t>JÖNKÖPINGS LÄN</t>
        </is>
      </c>
      <c r="G169" t="inlineStr">
        <is>
          <t>VÄRNAMO</t>
        </is>
      </c>
      <c r="H169" t="inlineStr">
        <is>
          <t>Kyrkan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46282</v>
      </c>
      <c r="F170" t="inlineStr">
        <is>
          <t>JÖNKÖPINGS LÄN</t>
        </is>
      </c>
      <c r="G170" t="inlineStr">
        <is>
          <t>VÄRNAMO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46282</v>
      </c>
      <c r="F171" t="inlineStr">
        <is>
          <t>JÖNKÖPINGS LÄN</t>
        </is>
      </c>
      <c r="G171" t="inlineStr">
        <is>
          <t>VÄRNAMO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46282</v>
      </c>
      <c r="F172" t="inlineStr">
        <is>
          <t>JÖNKÖPINGS LÄN</t>
        </is>
      </c>
      <c r="G172" t="inlineStr">
        <is>
          <t>VÄRNAMO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45807</v>
      </c>
      <c r="E173" s="1" t="n">
        <v>46282</v>
      </c>
      <c r="F173" t="inlineStr">
        <is>
          <t>JÖNKÖPINGS LÄN</t>
        </is>
      </c>
      <c r="G173" t="inlineStr">
        <is>
          <t>VÄRNAMO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46282</v>
      </c>
      <c r="F174" t="inlineStr">
        <is>
          <t>JÖNKÖPINGS LÄN</t>
        </is>
      </c>
      <c r="G174" t="inlineStr">
        <is>
          <t>VÄRNAMO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46282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46282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46282</v>
      </c>
      <c r="F177" t="inlineStr">
        <is>
          <t>JÖNKÖPINGS LÄN</t>
        </is>
      </c>
      <c r="G177" t="inlineStr">
        <is>
          <t>VÄRNAMO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46282</v>
      </c>
      <c r="F178" t="inlineStr">
        <is>
          <t>JÖNKÖPINGS LÄN</t>
        </is>
      </c>
      <c r="G178" t="inlineStr">
        <is>
          <t>VÄRNAMO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46282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46282</v>
      </c>
      <c r="F180" t="inlineStr">
        <is>
          <t>JÖNKÖPINGS LÄN</t>
        </is>
      </c>
      <c r="G180" t="inlineStr">
        <is>
          <t>VÄRNAMO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46282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46282</v>
      </c>
      <c r="F182" t="inlineStr">
        <is>
          <t>JÖNKÖPINGS LÄN</t>
        </is>
      </c>
      <c r="G182" t="inlineStr">
        <is>
          <t>VÄRNAMO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46282</v>
      </c>
      <c r="F183" t="inlineStr">
        <is>
          <t>JÖNKÖPINGS LÄN</t>
        </is>
      </c>
      <c r="G183" t="inlineStr">
        <is>
          <t>VÄRNAMO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46282</v>
      </c>
      <c r="F184" t="inlineStr">
        <is>
          <t>JÖNKÖPINGS LÄN</t>
        </is>
      </c>
      <c r="G184" t="inlineStr">
        <is>
          <t>VÄRNAMO</t>
        </is>
      </c>
      <c r="I184" t="n">
        <v>10.1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46282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46282</v>
      </c>
      <c r="F186" t="inlineStr">
        <is>
          <t>JÖNKÖPINGS LÄN</t>
        </is>
      </c>
      <c r="G186" t="inlineStr">
        <is>
          <t>VÄRNAMO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45659</v>
      </c>
      <c r="E187" s="1" t="n">
        <v>46282</v>
      </c>
      <c r="F187" t="inlineStr">
        <is>
          <t>JÖNKÖPINGS LÄN</t>
        </is>
      </c>
      <c r="G187" t="inlineStr">
        <is>
          <t>VÄRNAMO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45221</v>
      </c>
      <c r="E188" s="1" t="n">
        <v>46282</v>
      </c>
      <c r="F188" t="inlineStr">
        <is>
          <t>JÖNKÖPINGS LÄN</t>
        </is>
      </c>
      <c r="G188" t="inlineStr">
        <is>
          <t>VÄRNAMO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46282</v>
      </c>
      <c r="F189" t="inlineStr">
        <is>
          <t>JÖNKÖPINGS LÄN</t>
        </is>
      </c>
      <c r="G189" t="inlineStr">
        <is>
          <t>VÄRNAMO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46282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45818-2022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44846</v>
      </c>
      <c r="E191" s="1" t="n">
        <v>46282</v>
      </c>
      <c r="F191" t="inlineStr">
        <is>
          <t>JÖNKÖPINGS LÄN</t>
        </is>
      </c>
      <c r="G191" t="inlineStr">
        <is>
          <t>VÄRNAMO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46282</v>
      </c>
      <c r="F192" t="inlineStr">
        <is>
          <t>JÖNKÖPINGS LÄN</t>
        </is>
      </c>
      <c r="G192" t="inlineStr">
        <is>
          <t>VÄRNAMO</t>
        </is>
      </c>
      <c r="H192" t="inlineStr">
        <is>
          <t>Övriga Aktiebolag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46282</v>
      </c>
      <c r="F193" t="inlineStr">
        <is>
          <t>JÖNKÖPINGS LÄN</t>
        </is>
      </c>
      <c r="G193" t="inlineStr">
        <is>
          <t>VÄRNAMO</t>
        </is>
      </c>
      <c r="H193" t="inlineStr">
        <is>
          <t>Övriga Aktiebolag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46282</v>
      </c>
      <c r="F194" t="inlineStr">
        <is>
          <t>JÖNKÖPINGS LÄN</t>
        </is>
      </c>
      <c r="G194" t="inlineStr">
        <is>
          <t>VÄRNAMO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46282</v>
      </c>
      <c r="F195" t="inlineStr">
        <is>
          <t>JÖNKÖPINGS LÄN</t>
        </is>
      </c>
      <c r="G195" t="inlineStr">
        <is>
          <t>VÄRNAMO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46282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46282</v>
      </c>
      <c r="F197" t="inlineStr">
        <is>
          <t>JÖNKÖPINGS LÄN</t>
        </is>
      </c>
      <c r="G197" t="inlineStr">
        <is>
          <t>VÄRNAMO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46282</v>
      </c>
      <c r="F198" t="inlineStr">
        <is>
          <t>JÖNKÖPINGS LÄN</t>
        </is>
      </c>
      <c r="G198" t="inlineStr">
        <is>
          <t>VÄRNAMO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45845</v>
      </c>
      <c r="E199" s="1" t="n">
        <v>46282</v>
      </c>
      <c r="F199" t="inlineStr">
        <is>
          <t>JÖNKÖPINGS LÄN</t>
        </is>
      </c>
      <c r="G199" t="inlineStr">
        <is>
          <t>VÄRNAMO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45446</v>
      </c>
      <c r="E200" s="1" t="n">
        <v>46282</v>
      </c>
      <c r="F200" t="inlineStr">
        <is>
          <t>JÖNKÖPINGS LÄN</t>
        </is>
      </c>
      <c r="G200" t="inlineStr">
        <is>
          <t>VÄRNAMO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45189</v>
      </c>
      <c r="E201" s="1" t="n">
        <v>46282</v>
      </c>
      <c r="F201" t="inlineStr">
        <is>
          <t>JÖNKÖPINGS LÄN</t>
        </is>
      </c>
      <c r="G201" t="inlineStr">
        <is>
          <t>VÄRNAMO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46282</v>
      </c>
      <c r="F202" t="inlineStr">
        <is>
          <t>JÖNKÖPINGS LÄN</t>
        </is>
      </c>
      <c r="G202" t="inlineStr">
        <is>
          <t>VÄRNAMO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46282</v>
      </c>
      <c r="F203" t="inlineStr">
        <is>
          <t>JÖNKÖPINGS LÄN</t>
        </is>
      </c>
      <c r="G203" t="inlineStr">
        <is>
          <t>VÄRNAMO</t>
        </is>
      </c>
      <c r="H203" t="inlineStr">
        <is>
          <t>Kommuner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46282</v>
      </c>
      <c r="F204" t="inlineStr">
        <is>
          <t>JÖNKÖPINGS LÄN</t>
        </is>
      </c>
      <c r="G204" t="inlineStr">
        <is>
          <t>VÄRNAMO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46282</v>
      </c>
      <c r="F205" t="inlineStr">
        <is>
          <t>JÖNKÖPINGS LÄN</t>
        </is>
      </c>
      <c r="G205" t="inlineStr">
        <is>
          <t>VÄRNAMO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44642</v>
      </c>
      <c r="E206" s="1" t="n">
        <v>46282</v>
      </c>
      <c r="F206" t="inlineStr">
        <is>
          <t>JÖNKÖPINGS LÄN</t>
        </is>
      </c>
      <c r="G206" t="inlineStr">
        <is>
          <t>VÄRNAMO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46282</v>
      </c>
      <c r="F207" t="inlineStr">
        <is>
          <t>JÖNKÖPINGS LÄN</t>
        </is>
      </c>
      <c r="G207" t="inlineStr">
        <is>
          <t>VÄRNAMO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46282</v>
      </c>
      <c r="F208" t="inlineStr">
        <is>
          <t>JÖNKÖPINGS LÄN</t>
        </is>
      </c>
      <c r="G208" t="inlineStr">
        <is>
          <t>VÄRNAMO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51351-2024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45604</v>
      </c>
      <c r="E209" s="1" t="n">
        <v>46282</v>
      </c>
      <c r="F209" t="inlineStr">
        <is>
          <t>JÖNKÖPINGS LÄN</t>
        </is>
      </c>
      <c r="G209" t="inlineStr">
        <is>
          <t>VÄRNAMO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46282</v>
      </c>
      <c r="F210" t="inlineStr">
        <is>
          <t>JÖNKÖPINGS LÄN</t>
        </is>
      </c>
      <c r="G210" t="inlineStr">
        <is>
          <t>VÄRNAMO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46282</v>
      </c>
      <c r="F211" t="inlineStr">
        <is>
          <t>JÖNKÖPINGS LÄN</t>
        </is>
      </c>
      <c r="G211" t="inlineStr">
        <is>
          <t>VÄRNAMO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46282</v>
      </c>
      <c r="F212" t="inlineStr">
        <is>
          <t>JÖNKÖPINGS LÄN</t>
        </is>
      </c>
      <c r="G212" t="inlineStr">
        <is>
          <t>VÄRNAMO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46282</v>
      </c>
      <c r="F213" t="inlineStr">
        <is>
          <t>JÖNKÖPINGS LÄN</t>
        </is>
      </c>
      <c r="G213" t="inlineStr">
        <is>
          <t>VÄRNAMO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45853</v>
      </c>
      <c r="E214" s="1" t="n">
        <v>46282</v>
      </c>
      <c r="F214" t="inlineStr">
        <is>
          <t>JÖNKÖPINGS LÄN</t>
        </is>
      </c>
      <c r="G214" t="inlineStr">
        <is>
          <t>VÄRNAMO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46282</v>
      </c>
      <c r="F215" t="inlineStr">
        <is>
          <t>JÖNKÖPINGS LÄN</t>
        </is>
      </c>
      <c r="G215" t="inlineStr">
        <is>
          <t>VÄRNAMO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46038</v>
      </c>
      <c r="E216" s="1" t="n">
        <v>46282</v>
      </c>
      <c r="F216" t="inlineStr">
        <is>
          <t>JÖNKÖPINGS LÄN</t>
        </is>
      </c>
      <c r="G216" t="inlineStr">
        <is>
          <t>VÄRNAMO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52780-2024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45610</v>
      </c>
      <c r="E217" s="1" t="n">
        <v>46282</v>
      </c>
      <c r="F217" t="inlineStr">
        <is>
          <t>JÖNKÖPINGS LÄN</t>
        </is>
      </c>
      <c r="G217" t="inlineStr">
        <is>
          <t>VÄRNAMO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46282</v>
      </c>
      <c r="F218" t="inlineStr">
        <is>
          <t>JÖNKÖPINGS LÄN</t>
        </is>
      </c>
      <c r="G218" t="inlineStr">
        <is>
          <t>VÄRNAMO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46282</v>
      </c>
      <c r="F219" t="inlineStr">
        <is>
          <t>JÖNKÖPINGS LÄN</t>
        </is>
      </c>
      <c r="G219" t="inlineStr">
        <is>
          <t>VÄRNAMO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44577</v>
      </c>
      <c r="E220" s="1" t="n">
        <v>46282</v>
      </c>
      <c r="F220" t="inlineStr">
        <is>
          <t>JÖNKÖPINGS LÄN</t>
        </is>
      </c>
      <c r="G220" t="inlineStr">
        <is>
          <t>VÄRNAMO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46282</v>
      </c>
      <c r="F221" t="inlineStr">
        <is>
          <t>JÖNKÖPINGS LÄN</t>
        </is>
      </c>
      <c r="G221" t="inlineStr">
        <is>
          <t>VÄRNAMO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46282</v>
      </c>
      <c r="F222" t="inlineStr">
        <is>
          <t>JÖNKÖPINGS LÄN</t>
        </is>
      </c>
      <c r="G222" t="inlineStr">
        <is>
          <t>VÄRNAMO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46282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46282</v>
      </c>
      <c r="F224" t="inlineStr">
        <is>
          <t>JÖNKÖPINGS LÄN</t>
        </is>
      </c>
      <c r="G224" t="inlineStr">
        <is>
          <t>VÄRNAMO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46282</v>
      </c>
      <c r="F225" t="inlineStr">
        <is>
          <t>JÖNKÖPINGS LÄN</t>
        </is>
      </c>
      <c r="G225" t="inlineStr">
        <is>
          <t>VÄRNAMO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44566</v>
      </c>
      <c r="E226" s="1" t="n">
        <v>46282</v>
      </c>
      <c r="F226" t="inlineStr">
        <is>
          <t>JÖNKÖPINGS LÄN</t>
        </is>
      </c>
      <c r="G226" t="inlineStr">
        <is>
          <t>VÄRNAMO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45167</v>
      </c>
      <c r="E227" s="1" t="n">
        <v>46282</v>
      </c>
      <c r="F227" t="inlineStr">
        <is>
          <t>JÖNKÖPINGS LÄN</t>
        </is>
      </c>
      <c r="G227" t="inlineStr">
        <is>
          <t>VÄRNAMO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24703-2022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44727</v>
      </c>
      <c r="E228" s="1" t="n">
        <v>46282</v>
      </c>
      <c r="F228" t="inlineStr">
        <is>
          <t>JÖNKÖPINGS LÄN</t>
        </is>
      </c>
      <c r="G228" t="inlineStr">
        <is>
          <t>VÄRNAMO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45802</v>
      </c>
      <c r="E229" s="1" t="n">
        <v>46282</v>
      </c>
      <c r="F229" t="inlineStr">
        <is>
          <t>JÖNKÖPINGS LÄN</t>
        </is>
      </c>
      <c r="G229" t="inlineStr">
        <is>
          <t>VÄRNAMO</t>
        </is>
      </c>
      <c r="H229" t="inlineStr">
        <is>
          <t>Övriga Aktiebolag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46282</v>
      </c>
      <c r="F230" t="inlineStr">
        <is>
          <t>JÖNKÖPINGS LÄN</t>
        </is>
      </c>
      <c r="G230" t="inlineStr">
        <is>
          <t>VÄRNAMO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45873</v>
      </c>
      <c r="E231" s="1" t="n">
        <v>46282</v>
      </c>
      <c r="F231" t="inlineStr">
        <is>
          <t>JÖNKÖPINGS LÄN</t>
        </is>
      </c>
      <c r="G231" t="inlineStr">
        <is>
          <t>VÄRNAMO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46282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45873</v>
      </c>
      <c r="E233" s="1" t="n">
        <v>46282</v>
      </c>
      <c r="F233" t="inlineStr">
        <is>
          <t>JÖNKÖPINGS LÄN</t>
        </is>
      </c>
      <c r="G233" t="inlineStr">
        <is>
          <t>VÄRNAMO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46282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46045</v>
      </c>
      <c r="E235" s="1" t="n">
        <v>46282</v>
      </c>
      <c r="F235" t="inlineStr">
        <is>
          <t>JÖNKÖPINGS LÄN</t>
        </is>
      </c>
      <c r="G235" t="inlineStr">
        <is>
          <t>VÄRNAMO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46282</v>
      </c>
      <c r="F236" t="inlineStr">
        <is>
          <t>JÖNKÖPINGS LÄN</t>
        </is>
      </c>
      <c r="G236" t="inlineStr">
        <is>
          <t>VÄRNAMO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46282</v>
      </c>
      <c r="F237" t="inlineStr">
        <is>
          <t>JÖNKÖPINGS LÄN</t>
        </is>
      </c>
      <c r="G237" t="inlineStr">
        <is>
          <t>VÄRNAMO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46282</v>
      </c>
      <c r="F238" t="inlineStr">
        <is>
          <t>JÖNKÖPINGS LÄN</t>
        </is>
      </c>
      <c r="G238" t="inlineStr">
        <is>
          <t>VÄRNAMO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62276-2023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45267</v>
      </c>
      <c r="E239" s="1" t="n">
        <v>46282</v>
      </c>
      <c r="F239" t="inlineStr">
        <is>
          <t>JÖNKÖPINGS LÄN</t>
        </is>
      </c>
      <c r="G239" t="inlineStr">
        <is>
          <t>VÄRNAMO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45876</v>
      </c>
      <c r="E240" s="1" t="n">
        <v>46282</v>
      </c>
      <c r="F240" t="inlineStr">
        <is>
          <t>JÖNKÖPINGS LÄN</t>
        </is>
      </c>
      <c r="G240" t="inlineStr">
        <is>
          <t>VÄRNAMO</t>
        </is>
      </c>
      <c r="I240" t="n">
        <v>14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46282</v>
      </c>
      <c r="F241" t="inlineStr">
        <is>
          <t>JÖNKÖPINGS LÄN</t>
        </is>
      </c>
      <c r="G241" t="inlineStr">
        <is>
          <t>VÄRNAMO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46282</v>
      </c>
      <c r="F242" t="inlineStr">
        <is>
          <t>JÖNKÖPINGS LÄN</t>
        </is>
      </c>
      <c r="G242" t="inlineStr">
        <is>
          <t>VÄRNAMO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46282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5350-2026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46050</v>
      </c>
      <c r="E244" s="1" t="n">
        <v>46282</v>
      </c>
      <c r="F244" t="inlineStr">
        <is>
          <t>JÖNKÖPINGS LÄN</t>
        </is>
      </c>
      <c r="G244" t="inlineStr">
        <is>
          <t>VÄRNAMO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45959</v>
      </c>
      <c r="E245" s="1" t="n">
        <v>46282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46282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46282</v>
      </c>
      <c r="F247" t="inlineStr">
        <is>
          <t>JÖNKÖPINGS LÄN</t>
        </is>
      </c>
      <c r="G247" t="inlineStr">
        <is>
          <t>VÄRNAMO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46282</v>
      </c>
      <c r="F248" t="inlineStr">
        <is>
          <t>JÖNKÖPINGS LÄN</t>
        </is>
      </c>
      <c r="G248" t="inlineStr">
        <is>
          <t>VÄRNAMO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44677-2022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44840</v>
      </c>
      <c r="E249" s="1" t="n">
        <v>46282</v>
      </c>
      <c r="F249" t="inlineStr">
        <is>
          <t>JÖNKÖPINGS LÄN</t>
        </is>
      </c>
      <c r="G249" t="inlineStr">
        <is>
          <t>VÄRNAMO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7044-2026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46282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46282</v>
      </c>
      <c r="F251" t="inlineStr">
        <is>
          <t>JÖNKÖPINGS LÄN</t>
        </is>
      </c>
      <c r="G251" t="inlineStr">
        <is>
          <t>VÄRNAMO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46282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46282</v>
      </c>
      <c r="F253" t="inlineStr">
        <is>
          <t>JÖNKÖPINGS LÄN</t>
        </is>
      </c>
      <c r="G253" t="inlineStr">
        <is>
          <t>VÄRNAMO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46282</v>
      </c>
      <c r="F254" t="inlineStr">
        <is>
          <t>JÖNKÖPINGS LÄN</t>
        </is>
      </c>
      <c r="G254" t="inlineStr">
        <is>
          <t>VÄRNAMO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46282</v>
      </c>
      <c r="F255" t="inlineStr">
        <is>
          <t>JÖNKÖPINGS LÄN</t>
        </is>
      </c>
      <c r="G255" t="inlineStr">
        <is>
          <t>VÄRNAMO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46282</v>
      </c>
      <c r="F256" t="inlineStr">
        <is>
          <t>JÖNKÖPINGS LÄN</t>
        </is>
      </c>
      <c r="G256" t="inlineStr">
        <is>
          <t>VÄRNAMO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46282</v>
      </c>
      <c r="F257" t="inlineStr">
        <is>
          <t>JÖNKÖPINGS LÄN</t>
        </is>
      </c>
      <c r="G257" t="inlineStr">
        <is>
          <t>VÄRNAMO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46282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45217</v>
      </c>
      <c r="E259" s="1" t="n">
        <v>46282</v>
      </c>
      <c r="F259" t="inlineStr">
        <is>
          <t>JÖNKÖPINGS LÄN</t>
        </is>
      </c>
      <c r="G259" t="inlineStr">
        <is>
          <t>VÄRNAMO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46282</v>
      </c>
      <c r="F260" t="inlineStr">
        <is>
          <t>JÖNKÖPINGS LÄN</t>
        </is>
      </c>
      <c r="G260" t="inlineStr">
        <is>
          <t>VÄRNAMO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46282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45328</v>
      </c>
      <c r="E262" s="1" t="n">
        <v>46282</v>
      </c>
      <c r="F262" t="inlineStr">
        <is>
          <t>JÖNKÖPINGS LÄN</t>
        </is>
      </c>
      <c r="G262" t="inlineStr">
        <is>
          <t>VÄRNAMO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54703-2025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46282</v>
      </c>
      <c r="F263" t="inlineStr">
        <is>
          <t>JÖNKÖPINGS LÄN</t>
        </is>
      </c>
      <c r="G263" t="inlineStr">
        <is>
          <t>VÄRNAMO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46282</v>
      </c>
      <c r="F264" t="inlineStr">
        <is>
          <t>JÖNKÖPINGS LÄN</t>
        </is>
      </c>
      <c r="G264" t="inlineStr">
        <is>
          <t>VÄRNAMO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46282</v>
      </c>
      <c r="F265" t="inlineStr">
        <is>
          <t>JÖNKÖPINGS LÄN</t>
        </is>
      </c>
      <c r="G265" t="inlineStr">
        <is>
          <t>VÄRNAMO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46282</v>
      </c>
      <c r="F266" t="inlineStr">
        <is>
          <t>JÖNKÖPINGS LÄN</t>
        </is>
      </c>
      <c r="G266" t="inlineStr">
        <is>
          <t>VÄRNAMO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46282</v>
      </c>
      <c r="F267" t="inlineStr">
        <is>
          <t>JÖNKÖPINGS LÄN</t>
        </is>
      </c>
      <c r="G267" t="inlineStr">
        <is>
          <t>VÄRNAMO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46282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46282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46282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46282</v>
      </c>
      <c r="F271" t="inlineStr">
        <is>
          <t>JÖNKÖPINGS LÄN</t>
        </is>
      </c>
      <c r="G271" t="inlineStr">
        <is>
          <t>VÄRNAMO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46282</v>
      </c>
      <c r="F272" t="inlineStr">
        <is>
          <t>JÖNKÖPINGS LÄN</t>
        </is>
      </c>
      <c r="G272" t="inlineStr">
        <is>
          <t>VÄRNAMO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45245</v>
      </c>
      <c r="E273" s="1" t="n">
        <v>46282</v>
      </c>
      <c r="F273" t="inlineStr">
        <is>
          <t>JÖNKÖPINGS LÄN</t>
        </is>
      </c>
      <c r="G273" t="inlineStr">
        <is>
          <t>VÄRNAMO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46282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46282</v>
      </c>
      <c r="F275" t="inlineStr">
        <is>
          <t>JÖNKÖPINGS LÄN</t>
        </is>
      </c>
      <c r="G275" t="inlineStr">
        <is>
          <t>VÄRNAMO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46282</v>
      </c>
      <c r="F276" t="inlineStr">
        <is>
          <t>JÖNKÖPINGS LÄN</t>
        </is>
      </c>
      <c r="G276" t="inlineStr">
        <is>
          <t>VÄRNAMO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45120-2023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45191</v>
      </c>
      <c r="E277" s="1" t="n">
        <v>46282</v>
      </c>
      <c r="F277" t="inlineStr">
        <is>
          <t>JÖNKÖPINGS LÄN</t>
        </is>
      </c>
      <c r="G277" t="inlineStr">
        <is>
          <t>VÄRNAMO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46282</v>
      </c>
      <c r="F278" t="inlineStr">
        <is>
          <t>JÖNKÖPINGS LÄN</t>
        </is>
      </c>
      <c r="G278" t="inlineStr">
        <is>
          <t>VÄRNAMO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46282</v>
      </c>
      <c r="F279" t="inlineStr">
        <is>
          <t>JÖNKÖPINGS LÄN</t>
        </is>
      </c>
      <c r="G279" t="inlineStr">
        <is>
          <t>VÄRNAMO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46282</v>
      </c>
      <c r="F280" t="inlineStr">
        <is>
          <t>JÖNKÖPINGS LÄN</t>
        </is>
      </c>
      <c r="G280" t="inlineStr">
        <is>
          <t>VÄRNAMO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45091</v>
      </c>
      <c r="E281" s="1" t="n">
        <v>46282</v>
      </c>
      <c r="F281" t="inlineStr">
        <is>
          <t>JÖNKÖPINGS LÄN</t>
        </is>
      </c>
      <c r="G281" t="inlineStr">
        <is>
          <t>VÄRNAMO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59757-2021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44494</v>
      </c>
      <c r="E282" s="1" t="n">
        <v>46282</v>
      </c>
      <c r="F282" t="inlineStr">
        <is>
          <t>JÖNKÖPINGS LÄN</t>
        </is>
      </c>
      <c r="G282" t="inlineStr">
        <is>
          <t>VÄRNAMO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46282</v>
      </c>
      <c r="F283" t="inlineStr">
        <is>
          <t>JÖNKÖPINGS LÄN</t>
        </is>
      </c>
      <c r="G283" t="inlineStr">
        <is>
          <t>VÄRNAMO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46282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46282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46073</v>
      </c>
      <c r="E286" s="1" t="n">
        <v>46282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46282</v>
      </c>
      <c r="F287" t="inlineStr">
        <is>
          <t>JÖNKÖPINGS LÄN</t>
        </is>
      </c>
      <c r="G287" t="inlineStr">
        <is>
          <t>VÄRNAMO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47968-2022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44853</v>
      </c>
      <c r="E288" s="1" t="n">
        <v>46282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47987-2022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44853</v>
      </c>
      <c r="E289" s="1" t="n">
        <v>46282</v>
      </c>
      <c r="F289" t="inlineStr">
        <is>
          <t>JÖNKÖPINGS LÄN</t>
        </is>
      </c>
      <c r="G289" t="inlineStr">
        <is>
          <t>VÄRNAMO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46282</v>
      </c>
      <c r="F290" t="inlineStr">
        <is>
          <t>JÖNKÖPINGS LÄN</t>
        </is>
      </c>
      <c r="G290" t="inlineStr">
        <is>
          <t>VÄRNAMO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46282</v>
      </c>
      <c r="F291" t="inlineStr">
        <is>
          <t>JÖNKÖPINGS LÄN</t>
        </is>
      </c>
      <c r="G291" t="inlineStr">
        <is>
          <t>VÄRNAMO</t>
        </is>
      </c>
      <c r="H291" t="inlineStr">
        <is>
          <t>Sveaskog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46282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46282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45678</v>
      </c>
      <c r="E294" s="1" t="n">
        <v>46282</v>
      </c>
      <c r="F294" t="inlineStr">
        <is>
          <t>JÖNKÖPINGS LÄN</t>
        </is>
      </c>
      <c r="G294" t="inlineStr">
        <is>
          <t>VÄRNAMO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46282</v>
      </c>
      <c r="F295" t="inlineStr">
        <is>
          <t>JÖNKÖPINGS LÄN</t>
        </is>
      </c>
      <c r="G295" t="inlineStr">
        <is>
          <t>VÄRNAMO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46078</v>
      </c>
      <c r="E296" s="1" t="n">
        <v>46282</v>
      </c>
      <c r="F296" t="inlineStr">
        <is>
          <t>JÖNKÖPINGS LÄN</t>
        </is>
      </c>
      <c r="G296" t="inlineStr">
        <is>
          <t>VÄRNAMO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46282</v>
      </c>
      <c r="F297" t="inlineStr">
        <is>
          <t>JÖNKÖPINGS LÄN</t>
        </is>
      </c>
      <c r="G297" t="inlineStr">
        <is>
          <t>VÄRNAMO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46282</v>
      </c>
      <c r="F298" t="inlineStr">
        <is>
          <t>JÖNKÖPINGS LÄN</t>
        </is>
      </c>
      <c r="G298" t="inlineStr">
        <is>
          <t>VÄRNAMO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46282</v>
      </c>
      <c r="F299" t="inlineStr">
        <is>
          <t>JÖNKÖPINGS LÄN</t>
        </is>
      </c>
      <c r="G299" t="inlineStr">
        <is>
          <t>VÄRNAMO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46282</v>
      </c>
      <c r="F300" t="inlineStr">
        <is>
          <t>JÖNKÖPINGS LÄN</t>
        </is>
      </c>
      <c r="G300" t="inlineStr">
        <is>
          <t>VÄRNAMO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46282</v>
      </c>
      <c r="F301" t="inlineStr">
        <is>
          <t>JÖNKÖPINGS LÄN</t>
        </is>
      </c>
      <c r="G301" t="inlineStr">
        <is>
          <t>VÄRNAMO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46282</v>
      </c>
      <c r="F302" t="inlineStr">
        <is>
          <t>JÖNKÖPINGS LÄN</t>
        </is>
      </c>
      <c r="G302" t="inlineStr">
        <is>
          <t>VÄRNAMO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46282</v>
      </c>
      <c r="F303" t="inlineStr">
        <is>
          <t>JÖNKÖPINGS LÄN</t>
        </is>
      </c>
      <c r="G303" t="inlineStr">
        <is>
          <t>VÄRNAMO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54000-2021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44470</v>
      </c>
      <c r="E304" s="1" t="n">
        <v>46282</v>
      </c>
      <c r="F304" t="inlineStr">
        <is>
          <t>JÖNKÖPINGS LÄN</t>
        </is>
      </c>
      <c r="G304" t="inlineStr">
        <is>
          <t>VÄRNAMO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46282</v>
      </c>
      <c r="F305" t="inlineStr">
        <is>
          <t>JÖNKÖPINGS LÄN</t>
        </is>
      </c>
      <c r="G305" t="inlineStr">
        <is>
          <t>VÄRNAMO</t>
        </is>
      </c>
      <c r="H305" t="inlineStr">
        <is>
          <t>Kommuner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45509</v>
      </c>
      <c r="E306" s="1" t="n">
        <v>46282</v>
      </c>
      <c r="F306" t="inlineStr">
        <is>
          <t>JÖNKÖPINGS LÄN</t>
        </is>
      </c>
      <c r="G306" t="inlineStr">
        <is>
          <t>VÄRNAMO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46282</v>
      </c>
      <c r="F307" t="inlineStr">
        <is>
          <t>JÖNKÖPINGS LÄN</t>
        </is>
      </c>
      <c r="G307" t="inlineStr">
        <is>
          <t>VÄRNAMO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46282</v>
      </c>
      <c r="F308" t="inlineStr">
        <is>
          <t>JÖNKÖPINGS LÄN</t>
        </is>
      </c>
      <c r="G308" t="inlineStr">
        <is>
          <t>VÄRNAMO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46282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41460-2023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46282</v>
      </c>
      <c r="F310" t="inlineStr">
        <is>
          <t>JÖNKÖPINGS LÄN</t>
        </is>
      </c>
      <c r="G310" t="inlineStr">
        <is>
          <t>VÄRNAMO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60481-2025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46282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46282</v>
      </c>
      <c r="F312" t="inlineStr">
        <is>
          <t>JÖNKÖPINGS LÄN</t>
        </is>
      </c>
      <c r="G312" t="inlineStr">
        <is>
          <t>VÄRNAMO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45642</v>
      </c>
      <c r="E313" s="1" t="n">
        <v>46282</v>
      </c>
      <c r="F313" t="inlineStr">
        <is>
          <t>JÖNKÖPINGS LÄN</t>
        </is>
      </c>
      <c r="G313" t="inlineStr">
        <is>
          <t>VÄRNAMO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40486-2022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44823</v>
      </c>
      <c r="E314" s="1" t="n">
        <v>46282</v>
      </c>
      <c r="F314" t="inlineStr">
        <is>
          <t>JÖNKÖPINGS LÄN</t>
        </is>
      </c>
      <c r="G314" t="inlineStr">
        <is>
          <t>VÄRNAMO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48664-2023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46282</v>
      </c>
      <c r="F315" t="inlineStr">
        <is>
          <t>JÖNKÖPINGS LÄN</t>
        </is>
      </c>
      <c r="G315" t="inlineStr">
        <is>
          <t>VÄRNAMO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12095-2026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46086</v>
      </c>
      <c r="E316" s="1" t="n">
        <v>46282</v>
      </c>
      <c r="F316" t="inlineStr">
        <is>
          <t>JÖNKÖPINGS LÄN</t>
        </is>
      </c>
      <c r="G316" t="inlineStr">
        <is>
          <t>VÄRNAMO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46282</v>
      </c>
      <c r="F317" t="inlineStr">
        <is>
          <t>JÖNKÖPINGS LÄN</t>
        </is>
      </c>
      <c r="G317" t="inlineStr">
        <is>
          <t>VÄRNAMO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46282</v>
      </c>
      <c r="F318" t="inlineStr">
        <is>
          <t>JÖNKÖPINGS LÄN</t>
        </is>
      </c>
      <c r="G318" t="inlineStr">
        <is>
          <t>VÄRNAMO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46001</v>
      </c>
      <c r="E319" s="1" t="n">
        <v>46282</v>
      </c>
      <c r="F319" t="inlineStr">
        <is>
          <t>JÖNKÖPINGS LÄN</t>
        </is>
      </c>
      <c r="G319" t="inlineStr">
        <is>
          <t>VÄRNAMO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46282</v>
      </c>
      <c r="F320" t="inlineStr">
        <is>
          <t>JÖNKÖPINGS LÄN</t>
        </is>
      </c>
      <c r="G320" t="inlineStr">
        <is>
          <t>VÄRNAMO</t>
        </is>
      </c>
      <c r="I320" t="n">
        <v>10.3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46282</v>
      </c>
      <c r="F321" t="inlineStr">
        <is>
          <t>JÖNKÖPINGS LÄN</t>
        </is>
      </c>
      <c r="G321" t="inlineStr">
        <is>
          <t>VÄRNAMO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46282</v>
      </c>
      <c r="F322" t="inlineStr">
        <is>
          <t>JÖNKÖPINGS LÄN</t>
        </is>
      </c>
      <c r="G322" t="inlineStr">
        <is>
          <t>VÄRNAMO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46282</v>
      </c>
      <c r="F323" t="inlineStr">
        <is>
          <t>JÖNKÖPINGS LÄN</t>
        </is>
      </c>
      <c r="G323" t="inlineStr">
        <is>
          <t>VÄRNAMO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45056</v>
      </c>
      <c r="E324" s="1" t="n">
        <v>46282</v>
      </c>
      <c r="F324" t="inlineStr">
        <is>
          <t>JÖNKÖPINGS LÄN</t>
        </is>
      </c>
      <c r="G324" t="inlineStr">
        <is>
          <t>VÄRNAMO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46282</v>
      </c>
      <c r="F325" t="inlineStr">
        <is>
          <t>JÖNKÖPINGS LÄN</t>
        </is>
      </c>
      <c r="G325" t="inlineStr">
        <is>
          <t>VÄRNAMO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54519-2021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44473</v>
      </c>
      <c r="E326" s="1" t="n">
        <v>46282</v>
      </c>
      <c r="F326" t="inlineStr">
        <is>
          <t>JÖNKÖPINGS LÄN</t>
        </is>
      </c>
      <c r="G326" t="inlineStr">
        <is>
          <t>VÄRNAMO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46282</v>
      </c>
      <c r="F327" t="inlineStr">
        <is>
          <t>JÖNKÖPINGS LÄN</t>
        </is>
      </c>
      <c r="G327" t="inlineStr">
        <is>
          <t>VÄRNAMO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46282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45308</v>
      </c>
      <c r="E329" s="1" t="n">
        <v>46282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46282</v>
      </c>
      <c r="F330" t="inlineStr">
        <is>
          <t>JÖNKÖPINGS LÄN</t>
        </is>
      </c>
      <c r="G330" t="inlineStr">
        <is>
          <t>VÄRNAMO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45734</v>
      </c>
      <c r="E331" s="1" t="n">
        <v>46282</v>
      </c>
      <c r="F331" t="inlineStr">
        <is>
          <t>JÖNKÖPINGS LÄN</t>
        </is>
      </c>
      <c r="G331" t="inlineStr">
        <is>
          <t>VÄRNAMO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45229</v>
      </c>
      <c r="E332" s="1" t="n">
        <v>46282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46282</v>
      </c>
      <c r="F333" t="inlineStr">
        <is>
          <t>JÖNKÖPINGS LÄN</t>
        </is>
      </c>
      <c r="G333" t="inlineStr">
        <is>
          <t>VÄRNAMO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46282</v>
      </c>
      <c r="F334" t="inlineStr">
        <is>
          <t>JÖNKÖPINGS LÄN</t>
        </is>
      </c>
      <c r="G334" t="inlineStr">
        <is>
          <t>VÄRNAMO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51430-2021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44461</v>
      </c>
      <c r="E335" s="1" t="n">
        <v>46282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46282</v>
      </c>
      <c r="F336" t="inlineStr">
        <is>
          <t>JÖNKÖPINGS LÄN</t>
        </is>
      </c>
      <c r="G336" t="inlineStr">
        <is>
          <t>VÄRNAMO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44931</v>
      </c>
      <c r="E337" s="1" t="n">
        <v>46282</v>
      </c>
      <c r="F337" t="inlineStr">
        <is>
          <t>JÖNKÖPINGS LÄN</t>
        </is>
      </c>
      <c r="G337" t="inlineStr">
        <is>
          <t>VÄRNAMO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46282</v>
      </c>
      <c r="F338" t="inlineStr">
        <is>
          <t>JÖNKÖPINGS LÄN</t>
        </is>
      </c>
      <c r="G338" t="inlineStr">
        <is>
          <t>VÄRNAMO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46282</v>
      </c>
      <c r="F339" t="inlineStr">
        <is>
          <t>JÖNKÖPINGS LÄN</t>
        </is>
      </c>
      <c r="G339" t="inlineStr">
        <is>
          <t>VÄRNAMO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46282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45044</v>
      </c>
      <c r="E341" s="1" t="n">
        <v>46282</v>
      </c>
      <c r="F341" t="inlineStr">
        <is>
          <t>JÖNKÖPINGS LÄN</t>
        </is>
      </c>
      <c r="G341" t="inlineStr">
        <is>
          <t>VÄRNAMO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46282</v>
      </c>
      <c r="F342" t="inlineStr">
        <is>
          <t>JÖNKÖPINGS LÄN</t>
        </is>
      </c>
      <c r="G342" t="inlineStr">
        <is>
          <t>VÄRNAMO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46282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45261</v>
      </c>
      <c r="E344" s="1" t="n">
        <v>46282</v>
      </c>
      <c r="F344" t="inlineStr">
        <is>
          <t>JÖNKÖPINGS LÄN</t>
        </is>
      </c>
      <c r="G344" t="inlineStr">
        <is>
          <t>VÄRNAMO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46282</v>
      </c>
      <c r="F345" t="inlineStr">
        <is>
          <t>JÖNKÖPINGS LÄN</t>
        </is>
      </c>
      <c r="G345" t="inlineStr">
        <is>
          <t>VÄRNAMO</t>
        </is>
      </c>
      <c r="H345" t="inlineStr">
        <is>
          <t>Kommuner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15101-2026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46101</v>
      </c>
      <c r="E346" s="1" t="n">
        <v>46282</v>
      </c>
      <c r="F346" t="inlineStr">
        <is>
          <t>JÖNKÖPINGS LÄN</t>
        </is>
      </c>
      <c r="G346" t="inlineStr">
        <is>
          <t>VÄRNAMO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44882</v>
      </c>
      <c r="E347" s="1" t="n">
        <v>46282</v>
      </c>
      <c r="F347" t="inlineStr">
        <is>
          <t>JÖNKÖPINGS LÄN</t>
        </is>
      </c>
      <c r="G347" t="inlineStr">
        <is>
          <t>VÄRNAMO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46282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46282</v>
      </c>
      <c r="F349" t="inlineStr">
        <is>
          <t>JÖNKÖPINGS LÄN</t>
        </is>
      </c>
      <c r="G349" t="inlineStr">
        <is>
          <t>VÄRNAMO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46282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45105</v>
      </c>
      <c r="E351" s="1" t="n">
        <v>46282</v>
      </c>
      <c r="F351" t="inlineStr">
        <is>
          <t>JÖNKÖPINGS LÄN</t>
        </is>
      </c>
      <c r="G351" t="inlineStr">
        <is>
          <t>VÄRNAMO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46282</v>
      </c>
      <c r="F352" t="inlineStr">
        <is>
          <t>JÖNKÖPINGS LÄN</t>
        </is>
      </c>
      <c r="G352" t="inlineStr">
        <is>
          <t>VÄRNAMO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46282</v>
      </c>
      <c r="F353" t="inlineStr">
        <is>
          <t>JÖNKÖPINGS LÄN</t>
        </is>
      </c>
      <c r="G353" t="inlineStr">
        <is>
          <t>VÄRNAMO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45043</v>
      </c>
      <c r="E354" s="1" t="n">
        <v>46282</v>
      </c>
      <c r="F354" t="inlineStr">
        <is>
          <t>JÖNKÖPINGS LÄN</t>
        </is>
      </c>
      <c r="G354" t="inlineStr">
        <is>
          <t>VÄRNAMO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46282</v>
      </c>
      <c r="F355" t="inlineStr">
        <is>
          <t>JÖNKÖPINGS LÄN</t>
        </is>
      </c>
      <c r="G355" t="inlineStr">
        <is>
          <t>VÄRNAMO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46282</v>
      </c>
      <c r="F356" t="inlineStr">
        <is>
          <t>JÖNKÖPINGS LÄN</t>
        </is>
      </c>
      <c r="G356" t="inlineStr">
        <is>
          <t>VÄRNAMO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46282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45221</v>
      </c>
      <c r="E358" s="1" t="n">
        <v>46282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45642</v>
      </c>
      <c r="E359" s="1" t="n">
        <v>46282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46282</v>
      </c>
      <c r="F360" t="inlineStr">
        <is>
          <t>JÖNKÖPINGS LÄN</t>
        </is>
      </c>
      <c r="G360" t="inlineStr">
        <is>
          <t>VÄRNAMO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44970</v>
      </c>
      <c r="E361" s="1" t="n">
        <v>46282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46282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45369</v>
      </c>
      <c r="E363" s="1" t="n">
        <v>46282</v>
      </c>
      <c r="F363" t="inlineStr">
        <is>
          <t>JÖNKÖPINGS LÄN</t>
        </is>
      </c>
      <c r="G363" t="inlineStr">
        <is>
          <t>VÄRNAMO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44998</v>
      </c>
      <c r="E364" s="1" t="n">
        <v>46282</v>
      </c>
      <c r="F364" t="inlineStr">
        <is>
          <t>JÖNKÖPINGS LÄN</t>
        </is>
      </c>
      <c r="G364" t="inlineStr">
        <is>
          <t>VÄRNAMO</t>
        </is>
      </c>
      <c r="I364" t="n">
        <v>10.4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44608</v>
      </c>
      <c r="E365" s="1" t="n">
        <v>46282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43782-2025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45912</v>
      </c>
      <c r="E366" s="1" t="n">
        <v>46282</v>
      </c>
      <c r="F366" t="inlineStr">
        <is>
          <t>JÖNKÖPINGS LÄN</t>
        </is>
      </c>
      <c r="G366" t="inlineStr">
        <is>
          <t>VÄRNAMO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45446</v>
      </c>
      <c r="E367" s="1" t="n">
        <v>46282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8968-2024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45357</v>
      </c>
      <c r="E368" s="1" t="n">
        <v>46282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45519</v>
      </c>
      <c r="E369" s="1" t="n">
        <v>46282</v>
      </c>
      <c r="F369" t="inlineStr">
        <is>
          <t>JÖNKÖPINGS LÄN</t>
        </is>
      </c>
      <c r="G369" t="inlineStr">
        <is>
          <t>VÄRNAMO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12892-2022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44642</v>
      </c>
      <c r="E370" s="1" t="n">
        <v>46282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45756</v>
      </c>
      <c r="E371" s="1" t="n">
        <v>46282</v>
      </c>
      <c r="F371" t="inlineStr">
        <is>
          <t>JÖNKÖPINGS LÄN</t>
        </is>
      </c>
      <c r="G371" t="inlineStr">
        <is>
          <t>VÄRNAMO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18735-2025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45763</v>
      </c>
      <c r="E372" s="1" t="n">
        <v>46282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45496</v>
      </c>
      <c r="E373" s="1" t="n">
        <v>46282</v>
      </c>
      <c r="F373" t="inlineStr">
        <is>
          <t>JÖNKÖPINGS LÄN</t>
        </is>
      </c>
      <c r="G373" t="inlineStr">
        <is>
          <t>VÄRNAMO</t>
        </is>
      </c>
      <c r="H373" t="inlineStr">
        <is>
          <t>Kommuner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11206-2025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46282</v>
      </c>
      <c r="F374" t="inlineStr">
        <is>
          <t>JÖNKÖPINGS LÄN</t>
        </is>
      </c>
      <c r="G374" t="inlineStr">
        <is>
          <t>VÄRNAMO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45957</v>
      </c>
      <c r="E375" s="1" t="n">
        <v>46282</v>
      </c>
      <c r="F375" t="inlineStr">
        <is>
          <t>JÖNKÖPINGS LÄN</t>
        </is>
      </c>
      <c r="G375" t="inlineStr">
        <is>
          <t>VÄRNAMO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45758</v>
      </c>
      <c r="E376" s="1" t="n">
        <v>46282</v>
      </c>
      <c r="F376" t="inlineStr">
        <is>
          <t>JÖNKÖPINGS LÄN</t>
        </is>
      </c>
      <c r="G376" t="inlineStr">
        <is>
          <t>VÄRNAMO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44721-2025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46282</v>
      </c>
      <c r="F377" t="inlineStr">
        <is>
          <t>JÖNKÖPINGS LÄN</t>
        </is>
      </c>
      <c r="G377" t="inlineStr">
        <is>
          <t>VÄRNAMO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46282</v>
      </c>
      <c r="F378" t="inlineStr">
        <is>
          <t>JÖNKÖPINGS LÄN</t>
        </is>
      </c>
      <c r="G378" t="inlineStr">
        <is>
          <t>VÄRNAMO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46282</v>
      </c>
      <c r="F379" t="inlineStr">
        <is>
          <t>JÖNKÖPINGS LÄN</t>
        </is>
      </c>
      <c r="G379" t="inlineStr">
        <is>
          <t>VÄRNAMO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44985</v>
      </c>
      <c r="E380" s="1" t="n">
        <v>46282</v>
      </c>
      <c r="F380" t="inlineStr">
        <is>
          <t>JÖNKÖPINGS LÄN</t>
        </is>
      </c>
      <c r="G380" t="inlineStr">
        <is>
          <t>VÄRNAMO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46282</v>
      </c>
      <c r="F381" t="inlineStr">
        <is>
          <t>JÖNKÖPINGS LÄN</t>
        </is>
      </c>
      <c r="G381" t="inlineStr">
        <is>
          <t>VÄRNAMO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46282</v>
      </c>
      <c r="F382" t="inlineStr">
        <is>
          <t>JÖNKÖPINGS LÄN</t>
        </is>
      </c>
      <c r="G382" t="inlineStr">
        <is>
          <t>VÄRNAMO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46282</v>
      </c>
      <c r="F383" t="inlineStr">
        <is>
          <t>JÖNKÖPINGS LÄN</t>
        </is>
      </c>
      <c r="G383" t="inlineStr">
        <is>
          <t>VÄRNAMO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45401</v>
      </c>
      <c r="E384" s="1" t="n">
        <v>46282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45567</v>
      </c>
      <c r="E385" s="1" t="n">
        <v>46282</v>
      </c>
      <c r="F385" t="inlineStr">
        <is>
          <t>JÖNKÖPINGS LÄN</t>
        </is>
      </c>
      <c r="G385" t="inlineStr">
        <is>
          <t>VÄRNAMO</t>
        </is>
      </c>
      <c r="H385" t="inlineStr">
        <is>
          <t>Kommuner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45873</v>
      </c>
      <c r="E386" s="1" t="n">
        <v>46282</v>
      </c>
      <c r="F386" t="inlineStr">
        <is>
          <t>JÖNKÖPINGS LÄN</t>
        </is>
      </c>
      <c r="G386" t="inlineStr">
        <is>
          <t>VÄRNAMO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74102-2021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44557</v>
      </c>
      <c r="E387" s="1" t="n">
        <v>46282</v>
      </c>
      <c r="F387" t="inlineStr">
        <is>
          <t>JÖNKÖPINGS LÄN</t>
        </is>
      </c>
      <c r="G387" t="inlineStr">
        <is>
          <t>VÄRNAMO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42475-2025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46282</v>
      </c>
      <c r="F388" t="inlineStr">
        <is>
          <t>JÖNKÖPINGS LÄN</t>
        </is>
      </c>
      <c r="G388" t="inlineStr">
        <is>
          <t>VÄRNAMO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46282</v>
      </c>
      <c r="F389" t="inlineStr">
        <is>
          <t>JÖNKÖPINGS LÄN</t>
        </is>
      </c>
      <c r="G389" t="inlineStr">
        <is>
          <t>VÄRNAMO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33348-2025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46282</v>
      </c>
      <c r="F390" t="inlineStr">
        <is>
          <t>JÖNKÖPINGS LÄN</t>
        </is>
      </c>
      <c r="G390" t="inlineStr">
        <is>
          <t>VÄRNAMO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54254-2021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44470</v>
      </c>
      <c r="E391" s="1" t="n">
        <v>46282</v>
      </c>
      <c r="F391" t="inlineStr">
        <is>
          <t>JÖNKÖPINGS LÄN</t>
        </is>
      </c>
      <c r="G391" t="inlineStr">
        <is>
          <t>VÄRNAMO</t>
        </is>
      </c>
      <c r="H391" t="inlineStr">
        <is>
          <t>Övriga Aktiebolag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46282</v>
      </c>
      <c r="F392" t="inlineStr">
        <is>
          <t>JÖNKÖPINGS LÄN</t>
        </is>
      </c>
      <c r="G392" t="inlineStr">
        <is>
          <t>VÄRNAMO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33315-2025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45841</v>
      </c>
      <c r="E393" s="1" t="n">
        <v>46282</v>
      </c>
      <c r="F393" t="inlineStr">
        <is>
          <t>JÖNKÖPINGS LÄN</t>
        </is>
      </c>
      <c r="G393" t="inlineStr">
        <is>
          <t>VÄRNAMO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45785</v>
      </c>
      <c r="E394" s="1" t="n">
        <v>46282</v>
      </c>
      <c r="F394" t="inlineStr">
        <is>
          <t>JÖNKÖPINGS LÄN</t>
        </is>
      </c>
      <c r="G394" t="inlineStr">
        <is>
          <t>VÄRNAMO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46282</v>
      </c>
      <c r="F395" t="inlineStr">
        <is>
          <t>JÖNKÖPINGS LÄN</t>
        </is>
      </c>
      <c r="G395" t="inlineStr">
        <is>
          <t>VÄRNAMO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71233-2021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44539</v>
      </c>
      <c r="E396" s="1" t="n">
        <v>46282</v>
      </c>
      <c r="F396" t="inlineStr">
        <is>
          <t>JÖNKÖPINGS LÄN</t>
        </is>
      </c>
      <c r="G396" t="inlineStr">
        <is>
          <t>VÄRNAMO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45812</v>
      </c>
      <c r="E397" s="1" t="n">
        <v>46282</v>
      </c>
      <c r="F397" t="inlineStr">
        <is>
          <t>JÖNKÖPINGS LÄN</t>
        </is>
      </c>
      <c r="G397" t="inlineStr">
        <is>
          <t>VÄRNAMO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37899-2023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45160</v>
      </c>
      <c r="E398" s="1" t="n">
        <v>46282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45687</v>
      </c>
      <c r="E399" s="1" t="n">
        <v>46282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44928</v>
      </c>
      <c r="E400" s="1" t="n">
        <v>46282</v>
      </c>
      <c r="F400" t="inlineStr">
        <is>
          <t>JÖNKÖPINGS LÄN</t>
        </is>
      </c>
      <c r="G400" t="inlineStr">
        <is>
          <t>VÄRNAMO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46282</v>
      </c>
      <c r="F401" t="inlineStr">
        <is>
          <t>JÖNKÖPINGS LÄN</t>
        </is>
      </c>
      <c r="G401" t="inlineStr">
        <is>
          <t>VÄRNAMO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45608</v>
      </c>
      <c r="E402" s="1" t="n">
        <v>46282</v>
      </c>
      <c r="F402" t="inlineStr">
        <is>
          <t>JÖNKÖPINGS LÄN</t>
        </is>
      </c>
      <c r="G402" t="inlineStr">
        <is>
          <t>VÄRNAMO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46282</v>
      </c>
      <c r="F403" t="inlineStr">
        <is>
          <t>JÖNKÖPINGS LÄN</t>
        </is>
      </c>
      <c r="G403" t="inlineStr">
        <is>
          <t>VÄRNAMO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40779-2024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45558</v>
      </c>
      <c r="E404" s="1" t="n">
        <v>46282</v>
      </c>
      <c r="F404" t="inlineStr">
        <is>
          <t>JÖNKÖPINGS LÄN</t>
        </is>
      </c>
      <c r="G404" t="inlineStr">
        <is>
          <t>VÄRNAMO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46282</v>
      </c>
      <c r="F405" t="inlineStr">
        <is>
          <t>JÖNKÖPINGS LÄN</t>
        </is>
      </c>
      <c r="G405" t="inlineStr">
        <is>
          <t>VÄRNAMO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55606-2024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45622</v>
      </c>
      <c r="E406" s="1" t="n">
        <v>46282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46282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45876</v>
      </c>
      <c r="E408" s="1" t="n">
        <v>46282</v>
      </c>
      <c r="F408" t="inlineStr">
        <is>
          <t>JÖNKÖPINGS LÄN</t>
        </is>
      </c>
      <c r="G408" t="inlineStr">
        <is>
          <t>VÄRNAMO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45200</v>
      </c>
      <c r="E409" s="1" t="n">
        <v>46282</v>
      </c>
      <c r="F409" t="inlineStr">
        <is>
          <t>JÖNKÖPINGS LÄN</t>
        </is>
      </c>
      <c r="G409" t="inlineStr">
        <is>
          <t>VÄRNAMO</t>
        </is>
      </c>
      <c r="H409" t="inlineStr">
        <is>
          <t>Övriga Aktiebolag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45827</v>
      </c>
      <c r="E410" s="1" t="n">
        <v>46282</v>
      </c>
      <c r="F410" t="inlineStr">
        <is>
          <t>JÖNKÖPINGS LÄN</t>
        </is>
      </c>
      <c r="G410" t="inlineStr">
        <is>
          <t>VÄRNAMO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45106</v>
      </c>
      <c r="E411" s="1" t="n">
        <v>46282</v>
      </c>
      <c r="F411" t="inlineStr">
        <is>
          <t>JÖNKÖPINGS LÄN</t>
        </is>
      </c>
      <c r="G411" t="inlineStr">
        <is>
          <t>VÄRNAMO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44686</v>
      </c>
      <c r="E412" s="1" t="n">
        <v>46282</v>
      </c>
      <c r="F412" t="inlineStr">
        <is>
          <t>JÖNKÖPINGS LÄN</t>
        </is>
      </c>
      <c r="G412" t="inlineStr">
        <is>
          <t>VÄRNAMO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46282</v>
      </c>
      <c r="F413" t="inlineStr">
        <is>
          <t>JÖNKÖPINGS LÄN</t>
        </is>
      </c>
      <c r="G413" t="inlineStr">
        <is>
          <t>VÄRNAMO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46282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46282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35120-2022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44797</v>
      </c>
      <c r="E416" s="1" t="n">
        <v>46282</v>
      </c>
      <c r="F416" t="inlineStr">
        <is>
          <t>JÖNKÖPINGS LÄN</t>
        </is>
      </c>
      <c r="G416" t="inlineStr">
        <is>
          <t>VÄRNAMO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1246-2024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45302</v>
      </c>
      <c r="E417" s="1" t="n">
        <v>46282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48040-2024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46282</v>
      </c>
      <c r="F418" t="inlineStr">
        <is>
          <t>JÖNKÖPINGS LÄN</t>
        </is>
      </c>
      <c r="G418" t="inlineStr">
        <is>
          <t>VÄRNAMO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46282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46282</v>
      </c>
      <c r="F420" t="inlineStr">
        <is>
          <t>JÖNKÖPINGS LÄN</t>
        </is>
      </c>
      <c r="G420" t="inlineStr">
        <is>
          <t>VÄRNAMO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45505</v>
      </c>
      <c r="E421" s="1" t="n">
        <v>46282</v>
      </c>
      <c r="F421" t="inlineStr">
        <is>
          <t>JÖNKÖPINGS LÄN</t>
        </is>
      </c>
      <c r="G421" t="inlineStr">
        <is>
          <t>VÄRNAMO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46282</v>
      </c>
      <c r="F422" t="inlineStr">
        <is>
          <t>JÖNKÖPINGS LÄN</t>
        </is>
      </c>
      <c r="G422" t="inlineStr">
        <is>
          <t>VÄRNAMO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46282</v>
      </c>
      <c r="F423" t="inlineStr">
        <is>
          <t>JÖNKÖPINGS LÄN</t>
        </is>
      </c>
      <c r="G423" t="inlineStr">
        <is>
          <t>VÄRNAMO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61345-2023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45264</v>
      </c>
      <c r="E424" s="1" t="n">
        <v>46282</v>
      </c>
      <c r="F424" t="inlineStr">
        <is>
          <t>JÖNKÖPINGS LÄN</t>
        </is>
      </c>
      <c r="G424" t="inlineStr">
        <is>
          <t>VÄRNAMO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45007</v>
      </c>
      <c r="E425" s="1" t="n">
        <v>46282</v>
      </c>
      <c r="F425" t="inlineStr">
        <is>
          <t>JÖNKÖPINGS LÄN</t>
        </is>
      </c>
      <c r="G425" t="inlineStr">
        <is>
          <t>VÄRNAMO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42575-2022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44831</v>
      </c>
      <c r="E426" s="1" t="n">
        <v>46282</v>
      </c>
      <c r="F426" t="inlineStr">
        <is>
          <t>JÖNKÖPINGS LÄN</t>
        </is>
      </c>
      <c r="G426" t="inlineStr">
        <is>
          <t>VÄRNAMO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46282</v>
      </c>
      <c r="F427" t="inlineStr">
        <is>
          <t>JÖNKÖPINGS LÄN</t>
        </is>
      </c>
      <c r="G427" t="inlineStr">
        <is>
          <t>VÄRNAMO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21874-2024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45443</v>
      </c>
      <c r="E428" s="1" t="n">
        <v>46282</v>
      </c>
      <c r="F428" t="inlineStr">
        <is>
          <t>JÖNKÖPINGS LÄN</t>
        </is>
      </c>
      <c r="G428" t="inlineStr">
        <is>
          <t>VÄRNAMO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46282</v>
      </c>
      <c r="F429" t="inlineStr">
        <is>
          <t>JÖNKÖPINGS LÄN</t>
        </is>
      </c>
      <c r="G429" t="inlineStr">
        <is>
          <t>VÄRNAMO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1158-2024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45302</v>
      </c>
      <c r="E430" s="1" t="n">
        <v>46282</v>
      </c>
      <c r="F430" t="inlineStr">
        <is>
          <t>JÖNKÖPINGS LÄN</t>
        </is>
      </c>
      <c r="G430" t="inlineStr">
        <is>
          <t>VÄRNAMO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14353-2022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44652</v>
      </c>
      <c r="E431" s="1" t="n">
        <v>46282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45072</v>
      </c>
      <c r="E432" s="1" t="n">
        <v>46282</v>
      </c>
      <c r="F432" t="inlineStr">
        <is>
          <t>JÖNKÖPINGS LÄN</t>
        </is>
      </c>
      <c r="G432" t="inlineStr">
        <is>
          <t>VÄRNAMO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46282</v>
      </c>
      <c r="F433" t="inlineStr">
        <is>
          <t>JÖNKÖPINGS LÄN</t>
        </is>
      </c>
      <c r="G433" t="inlineStr">
        <is>
          <t>VÄRNAMO</t>
        </is>
      </c>
      <c r="H433" t="inlineStr">
        <is>
          <t>Kommuner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46282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46282</v>
      </c>
      <c r="F435" t="inlineStr">
        <is>
          <t>JÖNKÖPINGS LÄN</t>
        </is>
      </c>
      <c r="G435" t="inlineStr">
        <is>
          <t>VÄRNAMO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45718</v>
      </c>
      <c r="E436" s="1" t="n">
        <v>46282</v>
      </c>
      <c r="F436" t="inlineStr">
        <is>
          <t>JÖNKÖPINGS LÄN</t>
        </is>
      </c>
      <c r="G436" t="inlineStr">
        <is>
          <t>VÄRNAMO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46282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46282</v>
      </c>
      <c r="F438" t="inlineStr">
        <is>
          <t>JÖNKÖPINGS LÄN</t>
        </is>
      </c>
      <c r="G438" t="inlineStr">
        <is>
          <t>VÄRNAMO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45475</v>
      </c>
      <c r="E439" s="1" t="n">
        <v>46282</v>
      </c>
      <c r="F439" t="inlineStr">
        <is>
          <t>JÖNKÖPINGS LÄN</t>
        </is>
      </c>
      <c r="G439" t="inlineStr">
        <is>
          <t>VÄRNAMO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46160</v>
      </c>
      <c r="E440" s="1" t="n">
        <v>46282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46282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46282</v>
      </c>
      <c r="F442" t="inlineStr">
        <is>
          <t>JÖNKÖPINGS LÄN</t>
        </is>
      </c>
      <c r="G442" t="inlineStr">
        <is>
          <t>VÄRNAMO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44994</v>
      </c>
      <c r="E443" s="1" t="n">
        <v>46282</v>
      </c>
      <c r="F443" t="inlineStr">
        <is>
          <t>JÖNKÖPINGS LÄN</t>
        </is>
      </c>
      <c r="G443" t="inlineStr">
        <is>
          <t>VÄRNAMO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46282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45509</v>
      </c>
      <c r="E445" s="1" t="n">
        <v>46282</v>
      </c>
      <c r="F445" t="inlineStr">
        <is>
          <t>JÖNKÖPINGS LÄN</t>
        </is>
      </c>
      <c r="G445" t="inlineStr">
        <is>
          <t>VÄRNAMO</t>
        </is>
      </c>
      <c r="I445" t="n">
        <v>8.1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24036-2026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46282</v>
      </c>
      <c r="F446" t="inlineStr">
        <is>
          <t>JÖNKÖPINGS LÄN</t>
        </is>
      </c>
      <c r="G446" t="inlineStr">
        <is>
          <t>VÄRNAMO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24028-2026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46282</v>
      </c>
      <c r="F447" t="inlineStr">
        <is>
          <t>JÖNKÖPINGS LÄN</t>
        </is>
      </c>
      <c r="G447" t="inlineStr">
        <is>
          <t>VÄRNAMO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46282</v>
      </c>
      <c r="F448" t="inlineStr">
        <is>
          <t>JÖNKÖPINGS LÄN</t>
        </is>
      </c>
      <c r="G448" t="inlineStr">
        <is>
          <t>VÄRNAMO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46282</v>
      </c>
      <c r="F449" t="inlineStr">
        <is>
          <t>JÖNKÖPINGS LÄN</t>
        </is>
      </c>
      <c r="G449" t="inlineStr">
        <is>
          <t>VÄRNAMO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29162-2023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45105</v>
      </c>
      <c r="E450" s="1" t="n">
        <v>46282</v>
      </c>
      <c r="F450" t="inlineStr">
        <is>
          <t>JÖNKÖPINGS LÄN</t>
        </is>
      </c>
      <c r="G450" t="inlineStr">
        <is>
          <t>VÄRNAMO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29168-2023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45105</v>
      </c>
      <c r="E451" s="1" t="n">
        <v>46282</v>
      </c>
      <c r="F451" t="inlineStr">
        <is>
          <t>JÖNKÖPINGS LÄN</t>
        </is>
      </c>
      <c r="G451" t="inlineStr">
        <is>
          <t>VÄRNAMO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46282</v>
      </c>
      <c r="F452" t="inlineStr">
        <is>
          <t>JÖNKÖPINGS LÄN</t>
        </is>
      </c>
      <c r="G452" t="inlineStr">
        <is>
          <t>VÄRNAMO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45631</v>
      </c>
      <c r="E453" s="1" t="n">
        <v>46282</v>
      </c>
      <c r="F453" t="inlineStr">
        <is>
          <t>JÖNKÖPINGS LÄN</t>
        </is>
      </c>
      <c r="G453" t="inlineStr">
        <is>
          <t>VÄRNAMO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14439-2023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45012</v>
      </c>
      <c r="E454" s="1" t="n">
        <v>46282</v>
      </c>
      <c r="F454" t="inlineStr">
        <is>
          <t>JÖNKÖPINGS LÄN</t>
        </is>
      </c>
      <c r="G454" t="inlineStr">
        <is>
          <t>VÄRNAMO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46172</v>
      </c>
      <c r="E455" s="1" t="n">
        <v>46282</v>
      </c>
      <c r="F455" t="inlineStr">
        <is>
          <t>JÖNKÖPINGS LÄN</t>
        </is>
      </c>
      <c r="G455" t="inlineStr">
        <is>
          <t>VÄRNAMO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15105-2026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46101</v>
      </c>
      <c r="E456" s="1" t="n">
        <v>46282</v>
      </c>
      <c r="F456" t="inlineStr">
        <is>
          <t>JÖNKÖPINGS LÄN</t>
        </is>
      </c>
      <c r="G456" t="inlineStr">
        <is>
          <t>VÄRNAMO</t>
        </is>
      </c>
      <c r="I456" t="n">
        <v>58.2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45945</v>
      </c>
      <c r="E457" s="1" t="n">
        <v>46282</v>
      </c>
      <c r="F457" t="inlineStr">
        <is>
          <t>JÖNKÖPINGS LÄN</t>
        </is>
      </c>
      <c r="G457" t="inlineStr">
        <is>
          <t>VÄRNAMO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23922-2023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45078</v>
      </c>
      <c r="E458" s="1" t="n">
        <v>46282</v>
      </c>
      <c r="F458" t="inlineStr">
        <is>
          <t>JÖNKÖPINGS LÄN</t>
        </is>
      </c>
      <c r="G458" t="inlineStr">
        <is>
          <t>VÄRNAMO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45357</v>
      </c>
      <c r="E459" s="1" t="n">
        <v>46282</v>
      </c>
      <c r="F459" t="inlineStr">
        <is>
          <t>JÖNKÖPINGS LÄN</t>
        </is>
      </c>
      <c r="G459" t="inlineStr">
        <is>
          <t>VÄRNAMO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46282</v>
      </c>
      <c r="F460" t="inlineStr">
        <is>
          <t>JÖNKÖPINGS LÄN</t>
        </is>
      </c>
      <c r="G460" t="inlineStr">
        <is>
          <t>VÄRNAMO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45763</v>
      </c>
      <c r="E461" s="1" t="n">
        <v>46282</v>
      </c>
      <c r="F461" t="inlineStr">
        <is>
          <t>JÖNKÖPINGS LÄN</t>
        </is>
      </c>
      <c r="G461" t="inlineStr">
        <is>
          <t>VÄRNAMO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45824-2022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44846</v>
      </c>
      <c r="E462" s="1" t="n">
        <v>46282</v>
      </c>
      <c r="F462" t="inlineStr">
        <is>
          <t>JÖNKÖPINGS LÄN</t>
        </is>
      </c>
      <c r="G462" t="inlineStr">
        <is>
          <t>VÄRNAMO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25543-2026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46282</v>
      </c>
      <c r="F463" t="inlineStr">
        <is>
          <t>JÖNKÖPINGS LÄN</t>
        </is>
      </c>
      <c r="G463" t="inlineStr">
        <is>
          <t>VÄRNAMO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45517</v>
      </c>
      <c r="E464" s="1" t="n">
        <v>46282</v>
      </c>
      <c r="F464" t="inlineStr">
        <is>
          <t>JÖNKÖPINGS LÄN</t>
        </is>
      </c>
      <c r="G464" t="inlineStr">
        <is>
          <t>VÄRNAMO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45713</v>
      </c>
      <c r="E465" s="1" t="n">
        <v>46282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68171-2021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46282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11210-2024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45371</v>
      </c>
      <c r="E467" s="1" t="n">
        <v>46282</v>
      </c>
      <c r="F467" t="inlineStr">
        <is>
          <t>JÖNKÖPINGS LÄN</t>
        </is>
      </c>
      <c r="G467" t="inlineStr">
        <is>
          <t>VÄRNAMO</t>
        </is>
      </c>
      <c r="H467" t="inlineStr">
        <is>
          <t>Sveaskog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55373-2023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46282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10.6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45160</v>
      </c>
      <c r="E469" s="1" t="n">
        <v>46282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45219</v>
      </c>
      <c r="E470" s="1" t="n">
        <v>46282</v>
      </c>
      <c r="F470" t="inlineStr">
        <is>
          <t>JÖNKÖPINGS LÄN</t>
        </is>
      </c>
      <c r="G470" t="inlineStr">
        <is>
          <t>VÄRNAMO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53533-2023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45223</v>
      </c>
      <c r="E471" s="1" t="n">
        <v>46282</v>
      </c>
      <c r="F471" t="inlineStr">
        <is>
          <t>JÖNKÖPINGS LÄN</t>
        </is>
      </c>
      <c r="G471" t="inlineStr">
        <is>
          <t>VÄRNAMO</t>
        </is>
      </c>
      <c r="H471" t="inlineStr">
        <is>
          <t>Kyrkan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46282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46282</v>
      </c>
      <c r="F473" t="inlineStr">
        <is>
          <t>JÖNKÖPINGS LÄN</t>
        </is>
      </c>
      <c r="G473" t="inlineStr">
        <is>
          <t>VÄRNAMO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45224</v>
      </c>
      <c r="E474" s="1" t="n">
        <v>46282</v>
      </c>
      <c r="F474" t="inlineStr">
        <is>
          <t>JÖNKÖPINGS LÄN</t>
        </is>
      </c>
      <c r="G474" t="inlineStr">
        <is>
          <t>VÄRNAMO</t>
        </is>
      </c>
      <c r="H474" t="inlineStr">
        <is>
          <t>Övriga Aktiebolag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46282</v>
      </c>
      <c r="F475" t="inlineStr">
        <is>
          <t>JÖNKÖPINGS LÄN</t>
        </is>
      </c>
      <c r="G475" t="inlineStr">
        <is>
          <t>VÄRNAMO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26930-2026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46282</v>
      </c>
      <c r="F476" t="inlineStr">
        <is>
          <t>JÖNKÖPINGS LÄN</t>
        </is>
      </c>
      <c r="G476" t="inlineStr">
        <is>
          <t>VÄRNAMO</t>
        </is>
      </c>
      <c r="H476" t="inlineStr">
        <is>
          <t>Kommuner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27153-2026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46188</v>
      </c>
      <c r="E477" s="1" t="n">
        <v>46282</v>
      </c>
      <c r="F477" t="inlineStr">
        <is>
          <t>JÖNKÖPINGS LÄN</t>
        </is>
      </c>
      <c r="G477" t="inlineStr">
        <is>
          <t>VÄRNAMO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27154-2026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46282</v>
      </c>
      <c r="F478" t="inlineStr">
        <is>
          <t>JÖNKÖPINGS LÄN</t>
        </is>
      </c>
      <c r="G478" t="inlineStr">
        <is>
          <t>VÄRNAMO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46282</v>
      </c>
      <c r="F479" t="inlineStr">
        <is>
          <t>JÖNKÖPINGS LÄN</t>
        </is>
      </c>
      <c r="G479" t="inlineStr">
        <is>
          <t>VÄRNAMO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46282</v>
      </c>
      <c r="F480" t="inlineStr">
        <is>
          <t>JÖNKÖPINGS LÄN</t>
        </is>
      </c>
      <c r="G480" t="inlineStr">
        <is>
          <t>VÄRNAMO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46282</v>
      </c>
      <c r="F481" t="inlineStr">
        <is>
          <t>JÖNKÖPINGS LÄN</t>
        </is>
      </c>
      <c r="G481" t="inlineStr">
        <is>
          <t>VÄRNAMO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61503-2021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46282</v>
      </c>
      <c r="F482" t="inlineStr">
        <is>
          <t>JÖNKÖPINGS LÄN</t>
        </is>
      </c>
      <c r="G482" t="inlineStr">
        <is>
          <t>VÄRNAMO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46282</v>
      </c>
      <c r="F483" t="inlineStr">
        <is>
          <t>JÖNKÖPINGS LÄN</t>
        </is>
      </c>
      <c r="G483" t="inlineStr">
        <is>
          <t>VÄRNAMO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46282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46282</v>
      </c>
      <c r="F485" t="inlineStr">
        <is>
          <t>JÖNKÖPINGS LÄN</t>
        </is>
      </c>
      <c r="G485" t="inlineStr">
        <is>
          <t>VÄRNAMO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45674</v>
      </c>
      <c r="E486" s="1" t="n">
        <v>46282</v>
      </c>
      <c r="F486" t="inlineStr">
        <is>
          <t>JÖNKÖPINGS LÄN</t>
        </is>
      </c>
      <c r="G486" t="inlineStr">
        <is>
          <t>VÄRNAMO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45674</v>
      </c>
      <c r="E487" s="1" t="n">
        <v>46282</v>
      </c>
      <c r="F487" t="inlineStr">
        <is>
          <t>JÖNKÖPINGS LÄN</t>
        </is>
      </c>
      <c r="G487" t="inlineStr">
        <is>
          <t>VÄRNAMO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46282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46282</v>
      </c>
      <c r="F489" t="inlineStr">
        <is>
          <t>JÖNKÖPINGS LÄN</t>
        </is>
      </c>
      <c r="G489" t="inlineStr">
        <is>
          <t>VÄRNAMO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27950-2026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46193</v>
      </c>
      <c r="E490" s="1" t="n">
        <v>46282</v>
      </c>
      <c r="F490" t="inlineStr">
        <is>
          <t>JÖNKÖPINGS LÄN</t>
        </is>
      </c>
      <c r="G490" t="inlineStr">
        <is>
          <t>VÄRNAMO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46282</v>
      </c>
      <c r="F491" t="inlineStr">
        <is>
          <t>JÖNKÖPINGS LÄN</t>
        </is>
      </c>
      <c r="G491" t="inlineStr">
        <is>
          <t>VÄRNAMO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46282</v>
      </c>
      <c r="F492" t="inlineStr">
        <is>
          <t>JÖNKÖPINGS LÄN</t>
        </is>
      </c>
      <c r="G492" t="inlineStr">
        <is>
          <t>VÄRNAMO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46282</v>
      </c>
      <c r="F493" t="inlineStr">
        <is>
          <t>JÖNKÖPINGS LÄN</t>
        </is>
      </c>
      <c r="G493" t="inlineStr">
        <is>
          <t>VÄRNAMO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46191</v>
      </c>
      <c r="E494" s="1" t="n">
        <v>46282</v>
      </c>
      <c r="F494" t="inlineStr">
        <is>
          <t>JÖNKÖPINGS LÄN</t>
        </is>
      </c>
      <c r="G494" t="inlineStr">
        <is>
          <t>VÄRNAMO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42366-2024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45563</v>
      </c>
      <c r="E495" s="1" t="n">
        <v>46282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46282</v>
      </c>
      <c r="F496" t="inlineStr">
        <is>
          <t>JÖNKÖPINGS LÄN</t>
        </is>
      </c>
      <c r="G496" t="inlineStr">
        <is>
          <t>VÄRNAMO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46191</v>
      </c>
      <c r="E497" s="1" t="n">
        <v>46282</v>
      </c>
      <c r="F497" t="inlineStr">
        <is>
          <t>JÖNKÖPINGS LÄN</t>
        </is>
      </c>
      <c r="G497" t="inlineStr">
        <is>
          <t>VÄRNAMO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3866-2022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44587</v>
      </c>
      <c r="E498" s="1" t="n">
        <v>46282</v>
      </c>
      <c r="F498" t="inlineStr">
        <is>
          <t>JÖNKÖPINGS LÄN</t>
        </is>
      </c>
      <c r="G498" t="inlineStr">
        <is>
          <t>VÄRNAMO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56402-2023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45243</v>
      </c>
      <c r="E499" s="1" t="n">
        <v>46282</v>
      </c>
      <c r="F499" t="inlineStr">
        <is>
          <t>JÖNKÖPINGS LÄN</t>
        </is>
      </c>
      <c r="G499" t="inlineStr">
        <is>
          <t>VÄRNAMO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45243</v>
      </c>
      <c r="E500" s="1" t="n">
        <v>46282</v>
      </c>
      <c r="F500" t="inlineStr">
        <is>
          <t>JÖNKÖPINGS LÄN</t>
        </is>
      </c>
      <c r="G500" t="inlineStr">
        <is>
          <t>VÄRNAMO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46282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46282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41206-2023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45174</v>
      </c>
      <c r="E503" s="1" t="n">
        <v>46282</v>
      </c>
      <c r="F503" t="inlineStr">
        <is>
          <t>JÖNKÖPINGS LÄN</t>
        </is>
      </c>
      <c r="G503" t="inlineStr">
        <is>
          <t>VÄRNAMO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46282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74310-2021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44559</v>
      </c>
      <c r="E505" s="1" t="n">
        <v>46282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46282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46282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46282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46282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46282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46282</v>
      </c>
      <c r="F511" t="inlineStr">
        <is>
          <t>JÖNKÖPINGS LÄN</t>
        </is>
      </c>
      <c r="G511" t="inlineStr">
        <is>
          <t>VÄRNAMO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45200</v>
      </c>
      <c r="E512" s="1" t="n">
        <v>46282</v>
      </c>
      <c r="F512" t="inlineStr">
        <is>
          <t>JÖNKÖPINGS LÄN</t>
        </is>
      </c>
      <c r="G512" t="inlineStr">
        <is>
          <t>VÄRNAMO</t>
        </is>
      </c>
      <c r="H512" t="inlineStr">
        <is>
          <t>Övriga Aktiebolag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46282</v>
      </c>
      <c r="F513" t="inlineStr">
        <is>
          <t>JÖNKÖPINGS LÄN</t>
        </is>
      </c>
      <c r="G513" t="inlineStr">
        <is>
          <t>VÄRNAMO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39965-2022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44820</v>
      </c>
      <c r="E514" s="1" t="n">
        <v>46282</v>
      </c>
      <c r="F514" t="inlineStr">
        <is>
          <t>JÖNKÖPINGS LÄN</t>
        </is>
      </c>
      <c r="G514" t="inlineStr">
        <is>
          <t>VÄRNAMO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40696-2023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45170</v>
      </c>
      <c r="E515" s="1" t="n">
        <v>46282</v>
      </c>
      <c r="F515" t="inlineStr">
        <is>
          <t>JÖNKÖPINGS LÄN</t>
        </is>
      </c>
      <c r="G515" t="inlineStr">
        <is>
          <t>VÄRNAMO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46282</v>
      </c>
      <c r="F516" t="inlineStr">
        <is>
          <t>JÖNKÖPINGS LÄN</t>
        </is>
      </c>
      <c r="G516" t="inlineStr">
        <is>
          <t>VÄRNAMO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46282</v>
      </c>
      <c r="F517" t="inlineStr">
        <is>
          <t>JÖNKÖPINGS LÄN</t>
        </is>
      </c>
      <c r="G517" t="inlineStr">
        <is>
          <t>VÄRNAMO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45093</v>
      </c>
      <c r="E518" s="1" t="n">
        <v>46282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45372</v>
      </c>
      <c r="E519" s="1" t="n">
        <v>46282</v>
      </c>
      <c r="F519" t="inlineStr">
        <is>
          <t>JÖNKÖPINGS LÄN</t>
        </is>
      </c>
      <c r="G519" t="inlineStr">
        <is>
          <t>VÄRNAMO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46282</v>
      </c>
      <c r="F520" t="inlineStr">
        <is>
          <t>JÖNKÖPINGS LÄN</t>
        </is>
      </c>
      <c r="G520" t="inlineStr">
        <is>
          <t>VÄRNAMO</t>
        </is>
      </c>
      <c r="I520" t="n">
        <v>13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33731-2026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46251</v>
      </c>
      <c r="E521" s="1" t="n">
        <v>46282</v>
      </c>
      <c r="F521" t="inlineStr">
        <is>
          <t>JÖNKÖPINGS LÄN</t>
        </is>
      </c>
      <c r="G521" t="inlineStr">
        <is>
          <t>VÄRNAMO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30172-2026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46206</v>
      </c>
      <c r="E522" s="1" t="n">
        <v>46282</v>
      </c>
      <c r="F522" t="inlineStr">
        <is>
          <t>JÖNKÖPINGS LÄN</t>
        </is>
      </c>
      <c r="G522" t="inlineStr">
        <is>
          <t>VÄRNAMO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46051-2025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45924</v>
      </c>
      <c r="E523" s="1" t="n">
        <v>46282</v>
      </c>
      <c r="F523" t="inlineStr">
        <is>
          <t>JÖNKÖPINGS LÄN</t>
        </is>
      </c>
      <c r="G523" t="inlineStr">
        <is>
          <t>VÄRNAMO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30173-2026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46206</v>
      </c>
      <c r="E524" s="1" t="n">
        <v>46282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45406</v>
      </c>
      <c r="E525" s="1" t="n">
        <v>46282</v>
      </c>
      <c r="F525" t="inlineStr">
        <is>
          <t>JÖNKÖPINGS LÄN</t>
        </is>
      </c>
      <c r="G525" t="inlineStr">
        <is>
          <t>VÄRNAMO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46282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63656-2023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45275</v>
      </c>
      <c r="E527" s="1" t="n">
        <v>46282</v>
      </c>
      <c r="F527" t="inlineStr">
        <is>
          <t>JÖNKÖPINGS LÄN</t>
        </is>
      </c>
      <c r="G527" t="inlineStr">
        <is>
          <t>VÄRNAMO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46282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46282</v>
      </c>
      <c r="F529" t="inlineStr">
        <is>
          <t>JÖNKÖPINGS LÄN</t>
        </is>
      </c>
      <c r="G529" t="inlineStr">
        <is>
          <t>VÄRNAMO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45596</v>
      </c>
      <c r="E530" s="1" t="n">
        <v>46282</v>
      </c>
      <c r="F530" t="inlineStr">
        <is>
          <t>JÖNKÖPINGS LÄN</t>
        </is>
      </c>
      <c r="G530" t="inlineStr">
        <is>
          <t>VÄRNAMO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46282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25102-2022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44729</v>
      </c>
      <c r="E532" s="1" t="n">
        <v>46282</v>
      </c>
      <c r="F532" t="inlineStr">
        <is>
          <t>JÖNKÖPINGS LÄN</t>
        </is>
      </c>
      <c r="G532" t="inlineStr">
        <is>
          <t>VÄRNAMO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46282</v>
      </c>
      <c r="F533" t="inlineStr">
        <is>
          <t>JÖNKÖPINGS LÄN</t>
        </is>
      </c>
      <c r="G533" t="inlineStr">
        <is>
          <t>VÄRNAMO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62573-2023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45270</v>
      </c>
      <c r="E534" s="1" t="n">
        <v>46282</v>
      </c>
      <c r="F534" t="inlineStr">
        <is>
          <t>JÖNKÖPINGS LÄN</t>
        </is>
      </c>
      <c r="G534" t="inlineStr">
        <is>
          <t>VÄRNAMO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56272-2022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44890</v>
      </c>
      <c r="E535" s="1" t="n">
        <v>46282</v>
      </c>
      <c r="F535" t="inlineStr">
        <is>
          <t>JÖNKÖPINGS LÄN</t>
        </is>
      </c>
      <c r="G535" t="inlineStr">
        <is>
          <t>VÄRNAMO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46282</v>
      </c>
      <c r="F536" t="inlineStr">
        <is>
          <t>JÖNKÖPINGS LÄN</t>
        </is>
      </c>
      <c r="G536" t="inlineStr">
        <is>
          <t>VÄRNAMO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29166-2023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45105</v>
      </c>
      <c r="E537" s="1" t="n">
        <v>46282</v>
      </c>
      <c r="F537" t="inlineStr">
        <is>
          <t>JÖNKÖPINGS LÄN</t>
        </is>
      </c>
      <c r="G537" t="inlineStr">
        <is>
          <t>VÄRNAMO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45674</v>
      </c>
      <c r="E538" s="1" t="n">
        <v>46282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46282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14211-2023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45009</v>
      </c>
      <c r="E540" s="1" t="n">
        <v>46282</v>
      </c>
      <c r="F540" t="inlineStr">
        <is>
          <t>JÖNKÖPINGS LÄN</t>
        </is>
      </c>
      <c r="G540" t="inlineStr">
        <is>
          <t>VÄRNAMO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45688</v>
      </c>
      <c r="E541" s="1" t="n">
        <v>46282</v>
      </c>
      <c r="F541" t="inlineStr">
        <is>
          <t>JÖNKÖPINGS LÄN</t>
        </is>
      </c>
      <c r="G541" t="inlineStr">
        <is>
          <t>VÄRNAMO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45554</v>
      </c>
      <c r="E542" s="1" t="n">
        <v>46282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10540-2025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45721</v>
      </c>
      <c r="E543" s="1" t="n">
        <v>46282</v>
      </c>
      <c r="F543" t="inlineStr">
        <is>
          <t>JÖNKÖPINGS LÄN</t>
        </is>
      </c>
      <c r="G543" t="inlineStr">
        <is>
          <t>VÄRNAMO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44230-2023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45188</v>
      </c>
      <c r="E544" s="1" t="n">
        <v>46282</v>
      </c>
      <c r="F544" t="inlineStr">
        <is>
          <t>JÖNKÖPINGS LÄN</t>
        </is>
      </c>
      <c r="G544" t="inlineStr">
        <is>
          <t>VÄRNAMO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38664-2024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45547</v>
      </c>
      <c r="E545" s="1" t="n">
        <v>46282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45245</v>
      </c>
      <c r="E546" s="1" t="n">
        <v>46282</v>
      </c>
      <c r="F546" t="inlineStr">
        <is>
          <t>JÖNKÖPINGS LÄN</t>
        </is>
      </c>
      <c r="G546" t="inlineStr">
        <is>
          <t>VÄRNAMO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46282</v>
      </c>
      <c r="F547" t="inlineStr">
        <is>
          <t>JÖNKÖPINGS LÄN</t>
        </is>
      </c>
      <c r="G547" t="inlineStr">
        <is>
          <t>VÄRNAMO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44949</v>
      </c>
      <c r="E548" s="1" t="n">
        <v>46282</v>
      </c>
      <c r="F548" t="inlineStr">
        <is>
          <t>JÖNKÖPINGS LÄN</t>
        </is>
      </c>
      <c r="G548" t="inlineStr">
        <is>
          <t>VÄRNAMO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46282</v>
      </c>
      <c r="F549" t="inlineStr">
        <is>
          <t>JÖNKÖPINGS LÄN</t>
        </is>
      </c>
      <c r="G549" t="inlineStr">
        <is>
          <t>VÄRNAMO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45558</v>
      </c>
      <c r="E550" s="1" t="n">
        <v>46282</v>
      </c>
      <c r="F550" t="inlineStr">
        <is>
          <t>JÖNKÖPINGS LÄN</t>
        </is>
      </c>
      <c r="G550" t="inlineStr">
        <is>
          <t>VÄRNAMO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74026-2021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44553</v>
      </c>
      <c r="E551" s="1" t="n">
        <v>46282</v>
      </c>
      <c r="F551" t="inlineStr">
        <is>
          <t>JÖNKÖPINGS LÄN</t>
        </is>
      </c>
      <c r="G551" t="inlineStr">
        <is>
          <t>VÄRNAMO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74027-2021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44553</v>
      </c>
      <c r="E552" s="1" t="n">
        <v>46282</v>
      </c>
      <c r="F552" t="inlineStr">
        <is>
          <t>JÖNKÖPINGS LÄN</t>
        </is>
      </c>
      <c r="G552" t="inlineStr">
        <is>
          <t>VÄRNAMO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45701</v>
      </c>
      <c r="E553" s="1" t="n">
        <v>46282</v>
      </c>
      <c r="F553" t="inlineStr">
        <is>
          <t>JÖNKÖPINGS LÄN</t>
        </is>
      </c>
      <c r="G553" t="inlineStr">
        <is>
          <t>VÄRNAMO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46282</v>
      </c>
      <c r="F554" t="inlineStr">
        <is>
          <t>JÖNKÖPINGS LÄN</t>
        </is>
      </c>
      <c r="G554" t="inlineStr">
        <is>
          <t>VÄRNAMO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46282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46282</v>
      </c>
      <c r="F556" t="inlineStr">
        <is>
          <t>JÖNKÖPINGS LÄN</t>
        </is>
      </c>
      <c r="G556" t="inlineStr">
        <is>
          <t>VÄRNAMO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11990-2025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46282</v>
      </c>
      <c r="F557" t="inlineStr">
        <is>
          <t>JÖNKÖPINGS LÄN</t>
        </is>
      </c>
      <c r="G557" t="inlineStr">
        <is>
          <t>VÄRNAMO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46282</v>
      </c>
      <c r="F558" t="inlineStr">
        <is>
          <t>JÖNKÖPINGS LÄN</t>
        </is>
      </c>
      <c r="G558" t="inlineStr">
        <is>
          <t>VÄRNAMO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6918-2024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45343</v>
      </c>
      <c r="E559" s="1" t="n">
        <v>46282</v>
      </c>
      <c r="F559" t="inlineStr">
        <is>
          <t>JÖNKÖPINGS LÄN</t>
        </is>
      </c>
      <c r="G559" t="inlineStr">
        <is>
          <t>VÄRNAMO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35763-2026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46282</v>
      </c>
      <c r="F560" t="inlineStr">
        <is>
          <t>JÖNKÖPINGS LÄN</t>
        </is>
      </c>
      <c r="G560" t="inlineStr">
        <is>
          <t>VÄRNAMO</t>
        </is>
      </c>
      <c r="H560" t="inlineStr">
        <is>
          <t>Kommuner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46265</v>
      </c>
      <c r="E561" s="1" t="n">
        <v>46282</v>
      </c>
      <c r="F561" t="inlineStr">
        <is>
          <t>JÖNKÖPINGS LÄN</t>
        </is>
      </c>
      <c r="G561" t="inlineStr">
        <is>
          <t>VÄRNAMO</t>
        </is>
      </c>
      <c r="H561" t="inlineStr">
        <is>
          <t>Kommuner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46265</v>
      </c>
      <c r="E562" s="1" t="n">
        <v>46282</v>
      </c>
      <c r="F562" t="inlineStr">
        <is>
          <t>JÖNKÖPINGS LÄN</t>
        </is>
      </c>
      <c r="G562" t="inlineStr">
        <is>
          <t>VÄRNAMO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44051-2023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45188</v>
      </c>
      <c r="E563" s="1" t="n">
        <v>46282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39656-2023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45167</v>
      </c>
      <c r="E564" s="1" t="n">
        <v>46282</v>
      </c>
      <c r="F564" t="inlineStr">
        <is>
          <t>JÖNKÖPINGS LÄN</t>
        </is>
      </c>
      <c r="G564" t="inlineStr">
        <is>
          <t>VÄRNAMO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45566</v>
      </c>
      <c r="E565" s="1" t="n">
        <v>46282</v>
      </c>
      <c r="F565" t="inlineStr">
        <is>
          <t>JÖNKÖPINGS LÄN</t>
        </is>
      </c>
      <c r="G565" t="inlineStr">
        <is>
          <t>VÄRNAMO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36729-2022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44805</v>
      </c>
      <c r="E566" s="1" t="n">
        <v>46282</v>
      </c>
      <c r="F566" t="inlineStr">
        <is>
          <t>JÖNKÖPINGS LÄN</t>
        </is>
      </c>
      <c r="G566" t="inlineStr">
        <is>
          <t>VÄRNAMO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46282</v>
      </c>
      <c r="F567" t="inlineStr">
        <is>
          <t>JÖNKÖPINGS LÄN</t>
        </is>
      </c>
      <c r="G567" t="inlineStr">
        <is>
          <t>VÄRNAMO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46282</v>
      </c>
      <c r="F568" t="inlineStr">
        <is>
          <t>JÖNKÖPINGS LÄN</t>
        </is>
      </c>
      <c r="G568" t="inlineStr">
        <is>
          <t>VÄRNAMO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46282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44936</v>
      </c>
      <c r="E570" s="1" t="n">
        <v>46282</v>
      </c>
      <c r="F570" t="inlineStr">
        <is>
          <t>JÖNKÖPINGS LÄN</t>
        </is>
      </c>
      <c r="G570" t="inlineStr">
        <is>
          <t>VÄRNAMO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18890-2023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45044</v>
      </c>
      <c r="E571" s="1" t="n">
        <v>46282</v>
      </c>
      <c r="F571" t="inlineStr">
        <is>
          <t>JÖNKÖPINGS LÄN</t>
        </is>
      </c>
      <c r="G571" t="inlineStr">
        <is>
          <t>VÄRNAMO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64002-2023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45278</v>
      </c>
      <c r="E572" s="1" t="n">
        <v>46282</v>
      </c>
      <c r="F572" t="inlineStr">
        <is>
          <t>JÖNKÖPINGS LÄN</t>
        </is>
      </c>
      <c r="G572" t="inlineStr">
        <is>
          <t>VÄRNAMO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51754-2024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46282</v>
      </c>
      <c r="F573" t="inlineStr">
        <is>
          <t>JÖNKÖPINGS LÄN</t>
        </is>
      </c>
      <c r="G573" t="inlineStr">
        <is>
          <t>VÄRNAMO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46230</v>
      </c>
      <c r="E574" s="1" t="n">
        <v>46282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46230</v>
      </c>
      <c r="E575" s="1" t="n">
        <v>46282</v>
      </c>
      <c r="F575" t="inlineStr">
        <is>
          <t>JÖNKÖPINGS LÄN</t>
        </is>
      </c>
      <c r="G575" t="inlineStr">
        <is>
          <t>VÄRNAMO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46230</v>
      </c>
      <c r="E576" s="1" t="n">
        <v>46282</v>
      </c>
      <c r="F576" t="inlineStr">
        <is>
          <t>JÖNKÖPINGS LÄN</t>
        </is>
      </c>
      <c r="G576" t="inlineStr">
        <is>
          <t>VÄRNAMO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64048-2023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45279</v>
      </c>
      <c r="E577" s="1" t="n">
        <v>46282</v>
      </c>
      <c r="F577" t="inlineStr">
        <is>
          <t>JÖNKÖPINGS LÄN</t>
        </is>
      </c>
      <c r="G577" t="inlineStr">
        <is>
          <t>VÄRNAMO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20481-2022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44699</v>
      </c>
      <c r="E578" s="1" t="n">
        <v>46282</v>
      </c>
      <c r="F578" t="inlineStr">
        <is>
          <t>JÖNKÖPINGS LÄN</t>
        </is>
      </c>
      <c r="G578" t="inlineStr">
        <is>
          <t>VÄRNAMO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46468-2023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45197</v>
      </c>
      <c r="E579" s="1" t="n">
        <v>46282</v>
      </c>
      <c r="F579" t="inlineStr">
        <is>
          <t>JÖNKÖPINGS LÄN</t>
        </is>
      </c>
      <c r="G579" t="inlineStr">
        <is>
          <t>VÄRNAMO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45197</v>
      </c>
      <c r="E580" s="1" t="n">
        <v>46282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45146</v>
      </c>
      <c r="E581" s="1" t="n">
        <v>46282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45271</v>
      </c>
      <c r="E582" s="1" t="n">
        <v>46282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37592-2026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46276</v>
      </c>
      <c r="E583" s="1" t="n">
        <v>46282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46282</v>
      </c>
      <c r="F584" t="inlineStr">
        <is>
          <t>JÖNKÖPINGS LÄN</t>
        </is>
      </c>
      <c r="G584" t="inlineStr">
        <is>
          <t>VÄRNAMO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45265</v>
      </c>
      <c r="E585" s="1" t="n">
        <v>46282</v>
      </c>
      <c r="F585" t="inlineStr">
        <is>
          <t>JÖNKÖPINGS LÄN</t>
        </is>
      </c>
      <c r="G585" t="inlineStr">
        <is>
          <t>VÄRNAMO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12304-2023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46282</v>
      </c>
      <c r="F586" t="inlineStr">
        <is>
          <t>JÖNKÖPINGS LÄN</t>
        </is>
      </c>
      <c r="G586" t="inlineStr">
        <is>
          <t>VÄRNAMO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12305-2023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44998</v>
      </c>
      <c r="E587" s="1" t="n">
        <v>46282</v>
      </c>
      <c r="F587" t="inlineStr">
        <is>
          <t>JÖNKÖPINGS LÄN</t>
        </is>
      </c>
      <c r="G587" t="inlineStr">
        <is>
          <t>VÄRNAMO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45036</v>
      </c>
      <c r="E588" s="1" t="n">
        <v>46282</v>
      </c>
      <c r="F588" t="inlineStr">
        <is>
          <t>JÖNKÖPINGS LÄN</t>
        </is>
      </c>
      <c r="G588" t="inlineStr">
        <is>
          <t>VÄRNAMO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17678-2023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45037</v>
      </c>
      <c r="E589" s="1" t="n">
        <v>46282</v>
      </c>
      <c r="F589" t="inlineStr">
        <is>
          <t>JÖNKÖPINGS LÄN</t>
        </is>
      </c>
      <c r="G589" t="inlineStr">
        <is>
          <t>VÄRNAMO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46282</v>
      </c>
      <c r="F590" t="inlineStr">
        <is>
          <t>JÖNKÖPINGS LÄN</t>
        </is>
      </c>
      <c r="G590" t="inlineStr">
        <is>
          <t>VÄRNAMO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46282</v>
      </c>
      <c r="F591" t="inlineStr">
        <is>
          <t>JÖNKÖPINGS LÄN</t>
        </is>
      </c>
      <c r="G591" t="inlineStr">
        <is>
          <t>VÄRNAMO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45589</v>
      </c>
      <c r="E592" s="1" t="n">
        <v>46282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36613-2026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46269</v>
      </c>
      <c r="E593" s="1" t="n">
        <v>46282</v>
      </c>
      <c r="F593" t="inlineStr">
        <is>
          <t>JÖNKÖPINGS LÄN</t>
        </is>
      </c>
      <c r="G593" t="inlineStr">
        <is>
          <t>VÄRNAMO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46281</v>
      </c>
      <c r="E594" s="1" t="n">
        <v>46282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32878-2026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46244</v>
      </c>
      <c r="E595" s="1" t="n">
        <v>46282</v>
      </c>
      <c r="F595" t="inlineStr">
        <is>
          <t>JÖNKÖPINGS LÄN</t>
        </is>
      </c>
      <c r="G595" t="inlineStr">
        <is>
          <t>VÄRNAMO</t>
        </is>
      </c>
      <c r="I595" t="n">
        <v>11.7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45468</v>
      </c>
      <c r="E596" s="1" t="n">
        <v>46282</v>
      </c>
      <c r="F596" t="inlineStr">
        <is>
          <t>JÖNKÖPINGS LÄN</t>
        </is>
      </c>
      <c r="G596" t="inlineStr">
        <is>
          <t>VÄRNAMO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45428</v>
      </c>
      <c r="E597" s="1" t="n">
        <v>46282</v>
      </c>
      <c r="F597" t="inlineStr">
        <is>
          <t>JÖNKÖPINGS LÄN</t>
        </is>
      </c>
      <c r="G597" t="inlineStr">
        <is>
          <t>VÄRNAMO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38662-2024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45547</v>
      </c>
      <c r="E598" s="1" t="n">
        <v>46282</v>
      </c>
      <c r="F598" t="inlineStr">
        <is>
          <t>JÖNKÖPINGS LÄN</t>
        </is>
      </c>
      <c r="G598" t="inlineStr">
        <is>
          <t>VÄRNAMO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46282</v>
      </c>
      <c r="F599" t="inlineStr">
        <is>
          <t>JÖNKÖPINGS LÄN</t>
        </is>
      </c>
      <c r="G599" t="inlineStr">
        <is>
          <t>VÄRNAMO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46238</v>
      </c>
      <c r="E600" s="1" t="n">
        <v>46282</v>
      </c>
      <c r="F600" t="inlineStr">
        <is>
          <t>JÖNKÖPINGS LÄN</t>
        </is>
      </c>
      <c r="G600" t="inlineStr">
        <is>
          <t>VÄRNAMO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32413-2026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46238</v>
      </c>
      <c r="E601" s="1" t="n">
        <v>46282</v>
      </c>
      <c r="F601" t="inlineStr">
        <is>
          <t>JÖNKÖPINGS LÄN</t>
        </is>
      </c>
      <c r="G601" t="inlineStr">
        <is>
          <t>VÄRNAMO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45243</v>
      </c>
      <c r="E602" s="1" t="n">
        <v>46282</v>
      </c>
      <c r="F602" t="inlineStr">
        <is>
          <t>JÖNKÖPINGS LÄN</t>
        </is>
      </c>
      <c r="G602" t="inlineStr">
        <is>
          <t>VÄRNAMO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22220-2024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45445</v>
      </c>
      <c r="E603" s="1" t="n">
        <v>46282</v>
      </c>
      <c r="F603" t="inlineStr">
        <is>
          <t>JÖNKÖPINGS LÄN</t>
        </is>
      </c>
      <c r="G603" t="inlineStr">
        <is>
          <t>VÄRNAMO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22994-2025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45790</v>
      </c>
      <c r="E604" s="1" t="n">
        <v>46282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11112-2025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46282</v>
      </c>
      <c r="F605" t="inlineStr">
        <is>
          <t>JÖNKÖPINGS LÄN</t>
        </is>
      </c>
      <c r="G605" t="inlineStr">
        <is>
          <t>VÄRNAMO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41893-2024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45561</v>
      </c>
      <c r="E606" s="1" t="n">
        <v>46282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46282</v>
      </c>
      <c r="F607" t="inlineStr">
        <is>
          <t>JÖNKÖPINGS LÄN</t>
        </is>
      </c>
      <c r="G607" t="inlineStr">
        <is>
          <t>VÄRNAMO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45796</v>
      </c>
      <c r="E608" s="1" t="n">
        <v>46282</v>
      </c>
      <c r="F608" t="inlineStr">
        <is>
          <t>JÖNKÖPINGS LÄN</t>
        </is>
      </c>
      <c r="G608" t="inlineStr">
        <is>
          <t>VÄRNAMO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46282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46282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46282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46282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46282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46282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46282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46282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46282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46282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46282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46282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46282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46282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46282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46282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46282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46282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46282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46282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2026-09-17T01:59:15Z</dcterms:created>
  <dcterms:modified xmlns:dcterms="http://purl.org/dc/terms/" xmlns:xsi="http://www.w3.org/2001/XMLSchema-instance" xsi:type="dcterms:W3CDTF">2026-09-17T01:59:16Z</dcterms:modified>
</cp:coreProperties>
</file>